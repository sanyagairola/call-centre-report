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hidePivotFieldList="1"/>
  <mc:AlternateContent xmlns:mc="http://schemas.openxmlformats.org/markup-compatibility/2006">
    <mc:Choice Requires="x15">
      <x15ac:absPath xmlns:x15ac="http://schemas.microsoft.com/office/spreadsheetml/2010/11/ac" url="https://d.docs.live.net/8eae72b048743c94/Desktop/"/>
    </mc:Choice>
  </mc:AlternateContent>
  <xr:revisionPtr revIDLastSave="0" documentId="8_{B22F16B8-BA2D-44C4-900A-68D1EB404C9E}" xr6:coauthVersionLast="47" xr6:coauthVersionMax="47" xr10:uidLastSave="{00000000-0000-0000-0000-000000000000}"/>
  <bookViews>
    <workbookView xWindow="-108" yWindow="-108" windowWidth="23256" windowHeight="12456" activeTab="2" xr2:uid="{26D4546B-D2A1-4444-8EAF-A6228F96F0C1}"/>
  </bookViews>
  <sheets>
    <sheet name="Assets" sheetId="4" r:id="rId1"/>
    <sheet name="Data" sheetId="2" r:id="rId2"/>
    <sheet name="Cutomer Support Report" sheetId="5" r:id="rId3"/>
    <sheet name="Sheet2" sheetId="6"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502" r:id="rId5"/>
    <pivotCache cacheId="507" r:id="rId6"/>
    <pivotCache cacheId="508" r:id="rId7"/>
    <pivotCache cacheId="580" r:id="rId8"/>
    <pivotCache cacheId="989" r:id="rId9"/>
    <pivotCache cacheId="992" r:id="rId10"/>
    <pivotCache cacheId="995" r:id="rId11"/>
    <pivotCache cacheId="998" r:id="rId12"/>
    <pivotCache cacheId="1001" r:id="rId13"/>
  </pivotCaches>
  <extLst>
    <ext xmlns:x14="http://schemas.microsoft.com/office/spreadsheetml/2009/9/main" uri="{876F7934-8845-4945-9796-88D515C7AA90}">
      <x14:pivotCaches>
        <pivotCache cacheId="5"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9" i="6" l="1"/>
  <c r="F31" i="5" s="1"/>
  <c r="L40" i="6"/>
  <c r="L42" i="6" s="1"/>
  <c r="L47" i="6" s="1"/>
  <c r="F36" i="5" s="1"/>
  <c r="L41" i="6"/>
  <c r="L43" i="6" s="1"/>
  <c r="L48" i="6" s="1"/>
  <c r="F37" i="5" s="1"/>
  <c r="L39" i="6"/>
  <c r="L46" i="6" s="1"/>
  <c r="F35" i="5" s="1"/>
  <c r="K22" i="5" a="1"/>
  <c r="J23" i="5" a="1"/>
  <c r="O28" i="6"/>
  <c r="J30" i="6" a="1"/>
  <c r="Q30" i="6" s="1"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K982" i="2" a="1"/>
  <c r="K983" i="2" a="1"/>
  <c r="K984" i="2" a="1"/>
  <c r="K985" i="2" a="1"/>
  <c r="K986" i="2" a="1"/>
  <c r="K987" i="2" a="1"/>
  <c r="K988" i="2" a="1"/>
  <c r="K989" i="2" a="1"/>
  <c r="K990" i="2" a="1"/>
  <c r="K991" i="2" a="1"/>
  <c r="K992" i="2" a="1"/>
  <c r="K993" i="2" a="1"/>
  <c r="K994" i="2" a="1"/>
  <c r="K995" i="2" a="1"/>
  <c r="K996" i="2" a="1"/>
  <c r="K997" i="2" a="1"/>
  <c r="K998" i="2" a="1"/>
  <c r="K999" i="2" a="1"/>
  <c r="K1000" i="2" a="1"/>
  <c r="K1001" i="2" a="1"/>
  <c r="K1002" i="2" a="1"/>
  <c r="K1003" i="2"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N31" i="6" l="1" a="1"/>
  <c r="N32" i="6" a="1"/>
  <c r="N33" i="6" a="1"/>
  <c r="N34" i="6" a="1"/>
  <c r="N30" i="6" a="1"/>
  <c r="M30" i="6" a="1"/>
  <c r="M31" i="6" a="1"/>
  <c r="M32" i="6" a="1"/>
  <c r="M33" i="6" a="1"/>
  <c r="M34" i="6"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8F1555-C69C-45E0-BEBA-A8CC487E5DF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CE0E446-70ED-4E4A-813D-7A9CCBEA7B43}"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E88537A5-EE11-42BA-A8EC-FF4854F97ED0}"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<sst xmlns="http://schemas.openxmlformats.org/spreadsheetml/2006/main" count="3170" uniqueCount="1085">
  <si>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</si>
  <si>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</si>
  <si>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</si>
  <si>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</si>
  <si>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</si>
  <si>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</si>
  <si>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</si>
  <si>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</si>
  <si>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</si>
  <si>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</si>
  <si>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</si>
  <si>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</si>
  <si>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</si>
  <si>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</si>
  <si>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</si>
  <si>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</si>
  <si>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</si>
  <si>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</si>
  <si>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</si>
  <si>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</si>
  <si>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</si>
  <si>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</si>
  <si>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</si>
  <si>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</si>
  <si>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</si>
  <si>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</si>
  <si>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</si>
  <si>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</si>
  <si>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</si>
  <si>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</si>
  <si>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</si>
  <si>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</si>
  <si>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</si>
  <si>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</si>
  <si>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</si>
  <si>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</si>
  <si>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</si>
  <si>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</si>
  <si>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</si>
  <si>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</si>
  <si>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</si>
  <si>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</si>
  <si>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</si>
  <si>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</si>
  <si>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</si>
  <si>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</si>
  <si>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</si>
  <si>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</si>
  <si>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</si>
  <si>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</si>
  <si>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</si>
  <si>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</si>
  <si>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</si>
  <si>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</si>
  <si>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</si>
  <si>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</si>
  <si>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</si>
  <si>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</si>
  <si>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</si>
  <si>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</si>
  <si>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</si>
  <si>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</si>
  <si>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</si>
  <si>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</si>
  <si>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</si>
  <si>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</si>
  <si>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</si>
  <si>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</si>
  <si>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</si>
  <si>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</si>
  <si>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</si>
  <si>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</si>
  <si>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</si>
  <si>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</si>
  <si>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</si>
  <si>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</si>
  <si>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</si>
  <si>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</si>
  <si>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</si>
  <si>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</si>
  <si>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</si>
  <si>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</si>
  <si>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</si>
  <si>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</si>
  <si>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</si>
  <si>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</si>
  <si>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</si>
  <si>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</si>
  <si>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</si>
  <si>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</si>
  <si>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</si>
  <si>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</si>
  <si>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</si>
  <si>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</si>
  <si>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</si>
  <si>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</si>
  <si>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</si>
  <si>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</si>
  <si>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</si>
  <si>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</si>
  <si>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</si>
  <si>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</si>
  <si>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</si>
  <si>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</si>
  <si>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</si>
  <si>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</si>
  <si>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</si>
  <si>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</si>
  <si>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</si>
  <si>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</si>
  <si>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</si>
  <si>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</si>
  <si>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</si>
  <si>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</si>
  <si>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</si>
  <si>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</si>
  <si>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</si>
  <si>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</si>
  <si>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</si>
  <si>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</si>
  <si>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</si>
  <si>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</si>
  <si>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</si>
  <si>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</si>
  <si>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</si>
  <si>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</si>
  <si>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</si>
  <si>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</si>
  <si>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</si>
  <si>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</si>
  <si>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</si>
  <si>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</si>
  <si>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</si>
  <si>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</si>
  <si>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</si>
  <si>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</si>
  <si>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</si>
  <si>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</si>
  <si>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</si>
  <si>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</si>
  <si>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</si>
  <si>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</si>
  <si>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</si>
  <si>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</si>
  <si>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</si>
  <si>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</si>
  <si>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</si>
  <si>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</si>
  <si>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</si>
  <si>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</si>
  <si>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</si>
  <si>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</si>
  <si>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</si>
  <si>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</si>
  <si>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</si>
  <si>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</si>
  <si>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</si>
  <si>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</si>
  <si>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</si>
  <si>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</si>
  <si>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</si>
  <si>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</si>
  <si>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</si>
  <si>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</si>
  <si>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</si>
  <si>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</si>
  <si>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</si>
  <si>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</si>
  <si>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</si>
  <si>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</si>
  <si>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</si>
  <si>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</si>
  <si>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</si>
  <si>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</si>
  <si>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</si>
  <si>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</si>
  <si>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</si>
  <si>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</si>
  <si>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</si>
  <si>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</si>
  <si>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</si>
  <si>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</si>
  <si>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</si>
  <si>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</si>
  <si>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</si>
  <si>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</si>
  <si>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</si>
  <si>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</si>
  <si>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</si>
  <si>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</si>
  <si>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</si>
  <si>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</si>
  <si>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</si>
  <si>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</si>
  <si>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</si>
  <si>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</si>
  <si>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</si>
  <si>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</si>
  <si>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</si>
  <si>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</si>
  <si>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</si>
  <si>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</si>
  <si>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</si>
  <si>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</si>
  <si>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</si>
  <si>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</si>
  <si>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</si>
  <si>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</si>
  <si>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</si>
  <si>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</si>
  <si>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</si>
  <si>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</si>
  <si>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</si>
  <si>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</si>
  <si>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</si>
  <si>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</si>
  <si>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</si>
  <si>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</si>
  <si>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</si>
  <si>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</si>
  <si>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</si>
  <si>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</si>
  <si>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</si>
  <si>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</si>
  <si>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</si>
  <si>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</si>
  <si>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</si>
  <si>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</si>
  <si>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</si>
  <si>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</si>
  <si>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</si>
  <si>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</si>
  <si>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</si>
  <si>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</si>
  <si>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</si>
  <si>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</si>
  <si>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</si>
  <si>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</si>
  <si>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</si>
  <si>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</si>
  <si>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</si>
  <si>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</si>
  <si>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</si>
  <si>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</si>
  <si>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</si>
  <si>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</si>
  <si>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</si>
  <si>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</si>
  <si>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</si>
  <si>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</si>
  <si>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</si>
  <si>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</si>
  <si>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</si>
  <si>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</si>
  <si>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</si>
  <si>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</si>
  <si>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</si>
  <si>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</si>
  <si>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</si>
  <si>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</si>
  <si>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</si>
  <si>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</si>
  <si>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</si>
  <si>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</si>
  <si>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</si>
  <si>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</si>
  <si>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</si>
  <si>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</si>
  <si>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</si>
  <si>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</si>
  <si>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</si>
  <si>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</si>
  <si>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</si>
  <si>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</si>
  <si>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</si>
  <si>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</si>
  <si>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</si>
  <si>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</si>
  <si>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</si>
  <si>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</si>
  <si>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</si>
  <si>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</si>
  <si>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</si>
  <si>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</si>
  <si>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</si>
  <si>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</si>
  <si>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</si>
  <si>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</si>
  <si>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</si>
  <si>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</si>
  <si>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</si>
  <si>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</si>
  <si>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</si>
  <si>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</si>
  <si>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</si>
  <si>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</si>
  <si>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</si>
  <si>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</si>
  <si>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</si>
  <si>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</si>
  <si>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</si>
  <si>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</si>
  <si>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</si>
  <si>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</si>
  <si>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</si>
  <si>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</si>
  <si>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</si>
  <si>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</si>
  <si>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</si>
  <si>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</si>
  <si>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</si>
  <si>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</si>
  <si>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</si>
  <si>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</si>
  <si>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</si>
  <si>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</si>
  <si>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</si>
  <si>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</si>
  <si>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</si>
  <si>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</si>
  <si>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</si>
  <si>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</si>
  <si>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</si>
  <si>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</si>
  <si>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</si>
  <si>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</si>
  <si>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</si>
  <si>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</si>
  <si>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</si>
  <si>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</si>
  <si>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</si>
  <si>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</si>
  <si>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</si>
  <si>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</si>
  <si>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</si>
  <si>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</si>
  <si>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</si>
  <si>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</si>
  <si>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</si>
  <si>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</si>
  <si>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</si>
  <si>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</si>
  <si>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</si>
  <si>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</si>
  <si>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</si>
  <si>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</si>
  <si>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</si>
  <si>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</si>
  <si>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</si>
  <si>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</si>
  <si>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</si>
  <si>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</si>
  <si>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</si>
  <si>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</si>
  <si>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</si>
  <si>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</si>
  <si>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</si>
  <si>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</si>
  <si>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</si>
  <si>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</si>
  <si>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</si>
  <si>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</si>
  <si>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</si>
  <si>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</si>
  <si>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</si>
  <si>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</si>
  <si>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</si>
  <si>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</si>
  <si>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</si>
  <si>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</si>
  <si>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</si>
  <si>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</si>
  <si>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</si>
  <si>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</si>
  <si>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</si>
  <si>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</si>
  <si>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</si>
  <si>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</si>
  <si>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</si>
  <si>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</si>
  <si>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</si>
  <si>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</si>
  <si>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</si>
  <si>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</si>
  <si>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</si>
  <si>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</si>
  <si>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</si>
  <si>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</si>
  <si>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</si>
  <si>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</si>
  <si>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</si>
  <si>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</si>
  <si>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</si>
  <si>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</si>
  <si>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</si>
  <si>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</si>
  <si>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</si>
  <si>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</si>
  <si>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</si>
  <si>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</si>
  <si>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</si>
  <si>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</si>
  <si>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</si>
  <si>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</si>
  <si>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</si>
  <si>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</si>
  <si>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</si>
  <si>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</si>
  <si>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</si>
  <si>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</si>
  <si>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</si>
  <si>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</si>
  <si>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</si>
  <si>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</si>
  <si>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</si>
  <si>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</si>
  <si>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</si>
  <si>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</si>
  <si>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</si>
  <si>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</si>
  <si>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</si>
  <si>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</si>
  <si>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</si>
  <si>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</si>
  <si>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</si>
  <si>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</si>
  <si>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</si>
  <si>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</si>
  <si>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</si>
  <si>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</si>
  <si>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</si>
  <si>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</si>
  <si>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</si>
  <si>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</si>
  <si>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</si>
  <si>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</si>
  <si>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</si>
  <si>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</si>
  <si>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</si>
  <si>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</si>
  <si>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</si>
  <si>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</si>
  <si>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</si>
  <si>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</si>
  <si>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</si>
  <si>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</si>
  <si>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</si>
  <si>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</si>
  <si>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</si>
  <si>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</si>
  <si>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</si>
  <si>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</si>
  <si>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</si>
  <si>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</si>
  <si>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</si>
  <si>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</si>
  <si>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</si>
  <si>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</si>
  <si>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</si>
  <si>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</si>
  <si>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</si>
  <si>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</si>
  <si>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</si>
  <si>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</si>
  <si>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</si>
  <si>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</si>
  <si>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</si>
  <si>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</si>
  <si>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</si>
  <si>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</si>
  <si>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</si>
  <si>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</si>
  <si>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</si>
  <si>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</si>
  <si>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</si>
  <si>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</si>
  <si>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</si>
  <si>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</si>
  <si>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</si>
  <si>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</si>
  <si>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</si>
  <si>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</si>
  <si>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</si>
  <si>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</si>
  <si>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</si>
  <si>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</si>
  <si>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</si>
  <si>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</si>
  <si>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</si>
  <si>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</si>
  <si>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</si>
  <si>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</si>
  <si>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</si>
  <si>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</si>
  <si>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</si>
  <si>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</si>
  <si>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</si>
  <si>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</si>
  <si>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</si>
  <si>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</si>
  <si>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</si>
  <si>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</si>
  <si>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</si>
  <si>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</si>
  <si>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</si>
  <si>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</si>
  <si>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</si>
  <si>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</si>
  <si>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</si>
  <si>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</si>
  <si>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</si>
  <si>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</si>
  <si>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</si>
  <si>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</si>
  <si>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</si>
  <si>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</si>
  <si>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</si>
  <si>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</si>
  <si>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</si>
  <si>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</si>
  <si>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</si>
  <si>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</si>
  <si>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</si>
  <si>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</si>
  <si>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</si>
  <si>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</si>
  <si>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</si>
  <si>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</si>
  <si>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</si>
  <si>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</si>
  <si>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</si>
  <si>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</si>
  <si>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</si>
  <si>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</si>
  <si>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</si>
  <si>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</si>
  <si>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</si>
  <si>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</si>
  <si>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</si>
  <si>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</si>
  <si>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</si>
  <si>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</si>
  <si>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</si>
  <si>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</si>
  <si>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</si>
  <si>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</si>
  <si>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</si>
  <si>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</si>
  <si>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</si>
  <si>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</si>
  <si>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</si>
  <si>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</si>
  <si>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</si>
  <si>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</si>
  <si>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</si>
  <si>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</si>
  <si>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</si>
  <si>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</si>
  <si>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</si>
  <si>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</si>
  <si>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</si>
  <si>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</si>
  <si>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</si>
  <si>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</si>
  <si>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</si>
  <si>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</si>
  <si>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</si>
  <si>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</si>
  <si>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</si>
  <si>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</si>
  <si>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</si>
  <si>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</si>
  <si>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</si>
  <si>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</si>
  <si>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</si>
  <si>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</si>
  <si>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</si>
  <si>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</si>
  <si>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</si>
  <si>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</si>
  <si>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</si>
  <si>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</si>
  <si>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</si>
  <si>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</si>
  <si>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</si>
  <si>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</si>
  <si>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</si>
  <si>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</si>
  <si>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</si>
  <si>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</si>
  <si>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</si>
  <si>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</si>
  <si>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</si>
  <si>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</si>
  <si>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</si>
  <si>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</si>
  <si>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</si>
  <si>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</si>
  <si>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</si>
  <si>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</si>
  <si>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</si>
  <si>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</si>
  <si>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</si>
  <si>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</si>
  <si>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</si>
  <si>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</si>
  <si>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</si>
  <si>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</si>
  <si>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</si>
  <si>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</si>
  <si>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</si>
  <si>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</si>
  <si>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</si>
  <si>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</si>
  <si>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</si>
  <si>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</si>
  <si>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</si>
  <si>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</si>
  <si>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</si>
  <si>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</si>
  <si>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</si>
  <si>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</si>
  <si>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</si>
  <si>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</si>
  <si>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</si>
  <si>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</si>
  <si>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</si>
  <si>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</si>
  <si>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</si>
  <si>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</si>
  <si>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</si>
  <si>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</si>
  <si>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</si>
  <si>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</si>
  <si>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</si>
  <si>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</si>
  <si>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</si>
  <si>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</si>
  <si>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</si>
  <si>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</si>
  <si>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</si>
  <si>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</si>
  <si>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</si>
  <si>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</si>
  <si>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</si>
  <si>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</si>
  <si>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</si>
  <si>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</si>
  <si>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</si>
  <si>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</si>
  <si>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</si>
  <si>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</si>
  <si>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</si>
  <si>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</si>
  <si>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</si>
  <si>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</si>
  <si>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</si>
  <si>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</si>
  <si>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</si>
  <si>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</si>
  <si>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</si>
  <si>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</si>
  <si>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</si>
  <si>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</si>
  <si>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</si>
  <si>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</si>
  <si>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</si>
  <si>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</si>
  <si>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</si>
  <si>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</si>
  <si>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</si>
  <si>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</si>
  <si>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</si>
  <si>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</si>
  <si>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</si>
  <si>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</si>
  <si>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</si>
  <si>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</si>
  <si>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</si>
  <si>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</si>
  <si>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</si>
  <si>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</si>
  <si>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</si>
  <si>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</si>
  <si>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</si>
  <si>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</si>
  <si>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</si>
  <si>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</si>
  <si>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</si>
  <si>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</si>
  <si>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</si>
  <si>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</si>
  <si>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</si>
  <si>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</si>
  <si>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</si>
  <si>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</si>
  <si>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</si>
  <si>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</si>
  <si>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</si>
  <si>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</si>
  <si>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</si>
  <si>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</si>
  <si>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</si>
  <si>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</si>
  <si>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</si>
  <si>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</si>
  <si>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</si>
  <si>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</si>
  <si>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</si>
  <si>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</si>
  <si>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</si>
  <si>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</si>
  <si>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</si>
  <si>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</si>
  <si>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</si>
  <si>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</si>
  <si>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</si>
  <si>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</si>
  <si>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</si>
  <si>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</si>
  <si>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</si>
  <si>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</si>
  <si>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</si>
  <si>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</si>
  <si>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</si>
  <si>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</si>
  <si>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</si>
  <si>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</si>
  <si>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</si>
  <si>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</si>
  <si>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</si>
  <si>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</si>
  <si>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</si>
  <si>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</si>
  <si>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</si>
  <si>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</si>
  <si>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</si>
  <si>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</si>
  <si>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</si>
  <si>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</si>
  <si>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</si>
  <si>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</si>
  <si>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</si>
  <si>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</si>
  <si>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</si>
  <si>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</si>
  <si>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</si>
  <si>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</si>
  <si>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</si>
  <si>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</si>
  <si>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</si>
  <si>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</si>
  <si>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</si>
  <si>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</si>
  <si>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</si>
  <si>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</si>
  <si>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</si>
  <si>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</si>
  <si>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</si>
  <si>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</si>
  <si>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</si>
  <si>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</si>
  <si>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</si>
  <si>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</si>
  <si>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</si>
  <si>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</si>
  <si>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</si>
  <si>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</si>
  <si>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</si>
  <si>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</si>
  <si>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</si>
  <si>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</si>
  <si>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</si>
  <si>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</si>
  <si>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</si>
  <si>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</si>
  <si>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</si>
  <si>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</si>
  <si>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</si>
  <si>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</si>
  <si>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</si>
  <si>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</si>
  <si>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</si>
  <si>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</si>
  <si>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</si>
  <si>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</si>
  <si>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</si>
  <si>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</si>
  <si>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</si>
  <si>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</si>
  <si>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</si>
  <si>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</si>
  <si>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</si>
  <si>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</si>
  <si>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</si>
  <si>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</si>
  <si>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</si>
  <si>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</si>
  <si>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</si>
  <si>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</si>
  <si>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</si>
  <si>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</si>
  <si>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</si>
  <si>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</si>
  <si>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</si>
  <si>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</si>
  <si>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</si>
  <si>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</si>
  <si>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</si>
  <si>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</si>
  <si>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</si>
  <si>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</si>
  <si>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</si>
  <si>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</si>
  <si>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</si>
  <si>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</si>
  <si>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</si>
  <si>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</si>
  <si>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</si>
  <si>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</si>
  <si>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</si>
  <si>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</si>
  <si>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</si>
  <si>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</si>
  <si>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</si>
  <si>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</si>
  <si>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</si>
  <si>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</si>
  <si>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</si>
  <si>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</si>
  <si>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</si>
  <si>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</si>
  <si>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</si>
  <si>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</si>
  <si>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</si>
  <si>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</si>
  <si>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</si>
  <si>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</si>
  <si>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</si>
  <si>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</si>
  <si>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</si>
  <si>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</si>
  <si>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</si>
  <si>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</si>
  <si>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</si>
  <si>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</si>
  <si>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</si>
  <si>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</si>
  <si>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</si>
  <si>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</si>
  <si>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</si>
  <si>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</si>
  <si>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</si>
  <si>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</si>
  <si>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</si>
  <si>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</si>
  <si>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</si>
  <si>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</si>
  <si>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</si>
  <si>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</si>
  <si>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</si>
  <si>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</si>
  <si>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</si>
  <si>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</si>
  <si>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</si>
  <si>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</si>
  <si>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</si>
  <si>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</si>
  <si>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</si>
  <si>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</si>
  <si>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</si>
  <si>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</si>
  <si>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</si>
  <si>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</si>
  <si>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</si>
  <si>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</si>
  <si>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</si>
  <si>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</si>
  <si>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</si>
  <si>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</si>
  <si>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</si>
  <si>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</si>
  <si>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</si>
  <si>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</si>
  <si>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</si>
  <si>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</si>
  <si>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</si>
  <si>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</si>
  <si>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</si>
  <si>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</si>
  <si>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</si>
  <si>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</si>
  <si>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</si>
  <si>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</si>
  <si>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</si>
  <si>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</si>
  <si>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</si>
  <si>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</si>
  <si>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</si>
  <si>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</si>
  <si>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</si>
  <si>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</si>
  <si>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</si>
  <si>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</si>
  <si>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</si>
  <si>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</si>
  <si>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</si>
  <si>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</si>
  <si>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</si>
  <si>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</si>
  <si>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</si>
  <si>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</si>
  <si>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</si>
  <si>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</si>
  <si>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</si>
  <si>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</si>
  <si>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</si>
  <si>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</si>
  <si>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</si>
  <si>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</si>
  <si>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</si>
  <si>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</si>
  <si>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</si>
  <si>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</si>
  <si>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</si>
  <si>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</si>
  <si>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</si>
  <si>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</si>
  <si>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</si>
  <si>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</si>
  <si>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</si>
  <si>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</si>
  <si>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</si>
  <si>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</si>
  <si>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</si>
  <si>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</si>
  <si>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</si>
  <si>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</si>
  <si>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</si>
  <si>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</si>
  <si>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</si>
  <si>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</si>
  <si>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</si>
  <si>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</si>
  <si>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</si>
  <si>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</si>
  <si>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</si>
  <si>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</si>
  <si>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</si>
  <si>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</si>
  <si>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</si>
  <si>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</si>
  <si>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</si>
  <si>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</si>
  <si>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</si>
  <si>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</si>
  <si>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</si>
  <si>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</si>
  <si>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</si>
  <si>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</si>
  <si>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</si>
  <si>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</si>
  <si>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</si>
  <si>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</si>
  <si>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</si>
  <si>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</si>
  <si>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</si>
  <si>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</si>
  <si>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</si>
  <si>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</si>
  <si>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</si>
  <si>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</si>
  <si>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</si>
  <si>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</si>
  <si>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</si>
  <si>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</si>
  <si>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</si>
  <si>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</si>
  <si>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</si>
  <si>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</si>
  <si>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</si>
  <si>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</si>
  <si>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</si>
  <si>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</si>
  <si>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</si>
  <si>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</si>
  <si>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</si>
  <si>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</si>
  <si>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</si>
  <si>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</si>
  <si>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</si>
  <si>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</si>
  <si>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</si>
  <si>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</si>
  <si>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</si>
  <si>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</si>
  <si>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</si>
  <si>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</si>
  <si>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</si>
  <si>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</si>
  <si>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</si>
  <si>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</si>
  <si>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</si>
  <si>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</si>
  <si>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</si>
  <si>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</si>
  <si>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</si>
  <si>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</si>
  <si>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</si>
  <si>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</si>
  <si>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</si>
  <si>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</si>
  <si>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</si>
  <si>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</si>
  <si>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</si>
  <si>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</si>
  <si>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</si>
  <si>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</si>
  <si>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</si>
  <si>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</si>
  <si>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</si>
  <si>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</si>
  <si>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</si>
  <si>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</si>
  <si>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</si>
  <si>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</si>
  <si>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</si>
  <si>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</si>
  <si>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</si>
  <si>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</si>
  <si>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</si>
  <si>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</si>
  <si>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</si>
  <si>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</si>
  <si>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</si>
  <si>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</si>
  <si>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</si>
  <si>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</si>
  <si>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</si>
  <si>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</si>
  <si>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</si>
  <si>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</si>
  <si>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</si>
  <si>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</si>
  <si>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</si>
  <si>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Average Rating</t>
  </si>
  <si>
    <t>5*Calls</t>
  </si>
  <si>
    <t>Jan</t>
  </si>
  <si>
    <t>Feb</t>
  </si>
  <si>
    <t>Mar</t>
  </si>
  <si>
    <t>Apr</t>
  </si>
  <si>
    <t>May</t>
  </si>
  <si>
    <t>Jun</t>
  </si>
  <si>
    <t>Jul</t>
  </si>
  <si>
    <t>Aug</t>
  </si>
  <si>
    <t>Sep</t>
  </si>
  <si>
    <t>Oct</t>
  </si>
  <si>
    <t>Nov</t>
  </si>
  <si>
    <t>Dec</t>
  </si>
  <si>
    <t>Sunday</t>
  </si>
  <si>
    <t>Monday</t>
  </si>
  <si>
    <t>Tuesday</t>
  </si>
  <si>
    <t>Wednesday</t>
  </si>
  <si>
    <t>Thursday</t>
  </si>
  <si>
    <t>Friday</t>
  </si>
  <si>
    <t>Saturday</t>
  </si>
  <si>
    <t>Row Labels</t>
  </si>
  <si>
    <t>Grand Total</t>
  </si>
  <si>
    <t>Call Count2</t>
  </si>
  <si>
    <t>FOR GRAPH</t>
  </si>
  <si>
    <t>Rep</t>
  </si>
  <si>
    <t>Calls</t>
  </si>
  <si>
    <t>Amount</t>
  </si>
  <si>
    <t>Sel. Calls</t>
  </si>
  <si>
    <t>Sel. Amount</t>
  </si>
  <si>
    <t>selected rep</t>
  </si>
  <si>
    <t>Column Labels</t>
  </si>
  <si>
    <t>Reps Summary</t>
  </si>
  <si>
    <t>% of calls</t>
  </si>
  <si>
    <t>call rank</t>
  </si>
  <si>
    <t>amount rank</t>
  </si>
  <si>
    <t>calls</t>
  </si>
  <si>
    <t xml:space="preserve">amount   </t>
  </si>
  <si>
    <t>labels: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</si>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</sst>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9" formatCode="&quot;₹&quot;\ #,##0"/>
  </numFmts>
  <fonts count="7" x14ac:knownFonts="1">
    <font>
      <sz val="11"/>
      <color theme="1"/>
      <name val="Gill Sans MT"/>
      <family val="2"/>
      <scheme val="minor"/>
    </font>
    <font>
      <b/>
      <sz val="11"/>
      <color theme="1"/>
      <name val="Gill Sans MT"/>
      <family val="2"/>
      <scheme val="minor"/>
    </font>
    <font>
      <sz val="8"/>
      <name val="Gill Sans MT"/>
      <family val="2"/>
      <scheme val="minor"/>
    </font>
    <font>
      <sz val="18"/>
      <color theme="1"/>
      <name val="Aptos ExtraBold"/>
      <family val="2"/>
    </font>
    <font>
      <sz val="11"/>
      <color theme="1"/>
      <name val="Gill Sans MT"/>
      <family val="2"/>
      <scheme val="minor"/>
    </font>
    <font>
      <sz val="10"/>
      <color theme="1"/>
      <name val="Gill Sans MT"/>
      <family val="2"/>
      <scheme val="minor"/>
    </font>
    <font>
      <b/>
      <sz val="10"/>
      <color theme="1"/>
      <name val="Gill Sans MT"/>
      <family val="2"/>
      <scheme val="minor"/>
    </font>
  </fonts>
  <fills count="6">
    <fill>
      <patternFill patternType="none"/>
    </fill>
    <fill>
      <patternFill patternType="gray125"/>
    </fill>
    <fill>
      <patternFill patternType="solid">
        <fgColor theme="7"/>
        <bgColor indexed="64"/>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s>
  <cellStyleXfs count="2">
    <xf numFmtId="0" fontId="0" fillId="0" borderId="0"/>
    <xf numFmtId="9" fontId="4" fillId="0" borderId="0" applyFont="0" applyFill="0" applyBorder="0" applyAlignment="0" applyProtection="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2" fontId="0" fillId="0" borderId="0" xfId="0" applyNumberFormat="1"/>
    <xf numFmtId="0" fontId="0" fillId="0" borderId="0" xfId="0" applyAlignment="1">
      <alignment horizontal="left" indent="1"/>
    </xf>
    <xf numFmtId="0" fontId="0" fillId="0" borderId="0" xfId="0" applyNumberFormat="1"/>
    <xf numFmtId="0" fontId="0" fillId="5" borderId="9" xfId="0" applyFill="1" applyBorder="1"/>
    <xf numFmtId="0" fontId="5" fillId="5" borderId="0" xfId="0" applyFont="1" applyFill="1" applyBorder="1"/>
    <xf numFmtId="0" fontId="5" fillId="5" borderId="13" xfId="0" applyFont="1" applyFill="1" applyBorder="1"/>
    <xf numFmtId="0" fontId="5" fillId="5" borderId="11" xfId="0" applyFont="1" applyFill="1" applyBorder="1" applyAlignment="1">
      <alignment horizontal="left" indent="1"/>
    </xf>
    <xf numFmtId="169" fontId="5" fillId="5" borderId="0" xfId="0" applyNumberFormat="1" applyFont="1" applyFill="1" applyBorder="1"/>
    <xf numFmtId="0" fontId="5" fillId="5" borderId="6" xfId="0" applyFont="1" applyFill="1" applyBorder="1" applyAlignment="1">
      <alignment horizontal="left" indent="1"/>
    </xf>
    <xf numFmtId="169" fontId="5" fillId="5" borderId="12" xfId="0" applyNumberFormat="1" applyFont="1" applyFill="1" applyBorder="1"/>
    <xf numFmtId="0" fontId="1" fillId="5" borderId="10" xfId="0" applyFont="1" applyFill="1" applyBorder="1"/>
    <xf numFmtId="0" fontId="1" fillId="5" borderId="7" xfId="0" applyFont="1" applyFill="1" applyBorder="1"/>
    <xf numFmtId="0" fontId="6" fillId="5" borderId="11" xfId="0" applyFont="1" applyFill="1" applyBorder="1"/>
    <xf numFmtId="9" fontId="0" fillId="0" borderId="0" xfId="1" applyFont="1"/>
    <xf numFmtId="0" fontId="0" fillId="3" borderId="0" xfId="0" applyFill="1" applyAlignment="1">
      <alignment horizontal="center"/>
    </xf>
    <xf numFmtId="169" fontId="5" fillId="5" borderId="13" xfId="0" applyNumberFormat="1" applyFont="1" applyFill="1" applyBorder="1" applyAlignment="1">
      <alignment horizontal="center" vertical="center"/>
    </xf>
    <xf numFmtId="169" fontId="5" fillId="5" borderId="4" xfId="0" applyNumberFormat="1" applyFont="1" applyFill="1" applyBorder="1" applyAlignment="1">
      <alignment horizontal="center" vertical="center"/>
    </xf>
    <xf numFmtId="0" fontId="0" fillId="4" borderId="0" xfId="0" applyFill="1"/>
  </cellXfs>
  <cellStyles count="2">
    <cellStyle name="Normal" xfId="0" builtinId="0"/>
    <cellStyle name="Percent" xfId="1" builtinId="5"/>
  </cellStyles>
  <dxfs count="31">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bgColor theme="4" tint="0.749961851863155"/>
        </patternFill>
      </fill>
      <border>
        <left style="thin">
          <color theme="4" tint="0.499984740745262"/>
        </left>
        <right style="thin">
          <color theme="4" tint="0.499984740745262"/>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Gill Sans MT"/>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Project.xlsx]Sheet2!PivotTable5</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Sheet2!$H$18</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Sheet2!$G$19:$G$26</c:f>
              <c:strCache>
                <c:ptCount val="7"/>
                <c:pt idx="0">
                  <c:v>Sunday</c:v>
                </c:pt>
                <c:pt idx="1">
                  <c:v>Monday</c:v>
                </c:pt>
                <c:pt idx="2">
                  <c:v>Tuesday</c:v>
                </c:pt>
                <c:pt idx="3">
                  <c:v>Wednesday</c:v>
                </c:pt>
                <c:pt idx="4">
                  <c:v>Thursday</c:v>
                </c:pt>
                <c:pt idx="5">
                  <c:v>Friday</c:v>
                </c:pt>
                <c:pt idx="6">
                  <c:v>Saturday</c:v>
                </c:pt>
              </c:strCache>
            </c:strRef>
          </c:cat>
          <c:val>
            <c:numRef>
              <c:f>Sheet2!$H$19:$H$26</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9A76-453D-941B-EBD79745ACDE}"/>
            </c:ext>
          </c:extLst>
        </c:ser>
        <c:dLbls>
          <c:showLegendKey val="0"/>
          <c:showVal val="0"/>
          <c:showCatName val="0"/>
          <c:showSerName val="0"/>
          <c:showPercent val="0"/>
          <c:showBubbleSize val="0"/>
        </c:dLbls>
        <c:gapWidth val="25"/>
        <c:axId val="510994479"/>
        <c:axId val="2029065839"/>
      </c:barChart>
      <c:catAx>
        <c:axId val="51099447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065839"/>
        <c:crosses val="autoZero"/>
        <c:auto val="1"/>
        <c:lblAlgn val="ctr"/>
        <c:lblOffset val="100"/>
        <c:noMultiLvlLbl val="0"/>
      </c:catAx>
      <c:valAx>
        <c:axId val="2029065839"/>
        <c:scaling>
          <c:orientation val="minMax"/>
        </c:scaling>
        <c:delete val="1"/>
        <c:axPos val="t"/>
        <c:numFmt formatCode="#,##0" sourceLinked="1"/>
        <c:majorTickMark val="none"/>
        <c:minorTickMark val="none"/>
        <c:tickLblPos val="nextTo"/>
        <c:crossAx val="510994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Project.xlsx]Sheet2!MONTHLY TREND</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a:t>
            </a:r>
            <a:r>
              <a:rPr lang="en-IN" baseline="0"/>
              <a: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3">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41000">
                <a:schemeClr val="accent1">
                  <a:lumMod val="75000"/>
                  <a:lumOff val="25000"/>
                </a:schemeClr>
              </a:gs>
              <a:gs pos="92000">
                <a:schemeClr val="accent5">
                  <a:lumMod val="60000"/>
                  <a:lumOff val="40000"/>
                </a:schemeClr>
              </a:gs>
              <a:gs pos="100000">
                <a:schemeClr val="accent5">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circle"/>
          <c:size val="5"/>
          <c:spPr>
            <a:solidFill>
              <a:schemeClr val="bg1"/>
            </a:solidFill>
            <a:ln w="254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Sheet2!$C$18</c:f>
              <c:strCache>
                <c:ptCount val="1"/>
                <c:pt idx="0">
                  <c:v>Call Count2</c:v>
                </c:pt>
              </c:strCache>
            </c:strRef>
          </c:tx>
          <c:spPr>
            <a:gradFill>
              <a:gsLst>
                <a:gs pos="41000">
                  <a:schemeClr val="accent1">
                    <a:lumMod val="75000"/>
                    <a:lumOff val="25000"/>
                  </a:schemeClr>
                </a:gs>
                <a:gs pos="92000">
                  <a:schemeClr val="accent5">
                    <a:lumMod val="60000"/>
                    <a:lumOff val="40000"/>
                  </a:schemeClr>
                </a:gs>
                <a:gs pos="100000">
                  <a:schemeClr val="accent5">
                    <a:lumMod val="40000"/>
                    <a:lumOff val="60000"/>
                  </a:schemeClr>
                </a:gs>
              </a:gsLst>
              <a:lin ang="5400000" scaled="1"/>
            </a:gradFill>
            <a:ln>
              <a:noFill/>
            </a:ln>
            <a:effectLst/>
          </c:spPr>
          <c:cat>
            <c:strRef>
              <c:f>Sheet2!$A$19:$A$31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Sheet2!$C$19:$C$31</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C537-4F69-9124-4835200450BF}"/>
            </c:ext>
          </c:extLst>
        </c:ser>
        <c:dLbls>
          <c:showLegendKey val="0"/>
          <c:showVal val="0"/>
          <c:showCatName val="0"/>
          <c:showSerName val="0"/>
          <c:showPercent val="0"/>
          <c:showBubbleSize val="0"/>
        </c:dLbls>
        <c:axId val="479147727"/>
        <c:axId val="2029095599"/>
      </c:areaChart>
      <c:lineChart>
        <c:grouping val="standard"/>
        <c:varyColors val="0"/>
        <c:ser>
          <c:idx val="0"/>
          <c:order val="0"/>
          <c:tx>
            <c:strRef>
              <c:f>Sheet2!$B$18</c:f>
              <c:strCache>
                <c:ptCount val="1"/>
                <c:pt idx="0">
                  <c:v>Call Count</c:v>
                </c:pt>
              </c:strCache>
            </c:strRef>
          </c:tx>
          <c:spPr>
            <a:ln w="28575" cap="rnd">
              <a:solidFill>
                <a:schemeClr val="tx1"/>
              </a:solidFill>
              <a:round/>
            </a:ln>
            <a:effectLst/>
          </c:spPr>
          <c:marker>
            <c:symbol val="circle"/>
            <c:size val="5"/>
            <c:spPr>
              <a:solidFill>
                <a:schemeClr val="bg1"/>
              </a:solidFill>
              <a:ln w="25400">
                <a:solidFill>
                  <a:schemeClr val="accent1"/>
                </a:solidFill>
              </a:ln>
              <a:effectLst/>
            </c:spPr>
          </c:marker>
          <c:cat>
            <c:strRef>
              <c:f>Sheet2!$A$19:$A$31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Sheet2!$B$19:$B$31</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C537-4F69-9124-4835200450BF}"/>
            </c:ext>
          </c:extLst>
        </c:ser>
        <c:dLbls>
          <c:showLegendKey val="0"/>
          <c:showVal val="0"/>
          <c:showCatName val="0"/>
          <c:showSerName val="0"/>
          <c:showPercent val="0"/>
          <c:showBubbleSize val="0"/>
        </c:dLbls>
        <c:marker val="1"/>
        <c:smooth val="0"/>
        <c:axId val="479147727"/>
        <c:axId val="2029095599"/>
      </c:lineChart>
      <c:catAx>
        <c:axId val="4791477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095599"/>
        <c:crosses val="autoZero"/>
        <c:auto val="1"/>
        <c:lblAlgn val="ctr"/>
        <c:lblOffset val="100"/>
        <c:noMultiLvlLbl val="0"/>
      </c:catAx>
      <c:valAx>
        <c:axId val="20290955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14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ysClr val="windowText" lastClr="000000"/>
                </a:solidFill>
              </a:rPr>
              <a:t>Calls</a:t>
            </a:r>
          </a:p>
        </c:rich>
      </c:tx>
      <c:layout>
        <c:manualLayout>
          <c:xMode val="edge"/>
          <c:yMode val="edge"/>
          <c:x val="0.143454982489848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280509627963927"/>
          <c:y val="0.13215184924280982"/>
          <c:w val="0.81672202304843911"/>
          <c:h val="0.7899854730037178"/>
        </c:manualLayout>
      </c:layout>
      <c:barChart>
        <c:barDir val="bar"/>
        <c:grouping val="clustered"/>
        <c:varyColors val="0"/>
        <c:ser>
          <c:idx val="0"/>
          <c:order val="0"/>
          <c:spPr>
            <a:gradFill flip="none" rotWithShape="1">
              <a:gsLst>
                <a:gs pos="0">
                  <a:schemeClr val="accent5">
                    <a:lumMod val="75000"/>
                  </a:schemeClr>
                </a:gs>
                <a:gs pos="46000">
                  <a:schemeClr val="accent5">
                    <a:lumMod val="60000"/>
                    <a:lumOff val="40000"/>
                  </a:schemeClr>
                </a:gs>
                <a:gs pos="100000">
                  <a:schemeClr val="accent5">
                    <a:lumMod val="5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Sheet2!$J$30:$J$34</c:f>
              <c:strCache>
                <c:ptCount val="5"/>
                <c:pt idx="0">
                  <c:v>R01</c:v>
                </c:pt>
                <c:pt idx="1">
                  <c:v>R02</c:v>
                </c:pt>
                <c:pt idx="2">
                  <c:v>R03</c:v>
                </c:pt>
                <c:pt idx="3">
                  <c:v>R04</c:v>
                </c:pt>
                <c:pt idx="4">
                  <c:v>R05</c:v>
                </c:pt>
              </c:strCache>
            </c:strRef>
          </c:cat>
          <c:val>
            <c:numRef>
              <c:f>Sheet2!$K$30:$K$34</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CE7-46BF-9A45-822D046EADD2}"/>
            </c:ext>
          </c:extLst>
        </c:ser>
        <c:ser>
          <c:idx val="1"/>
          <c:order val="1"/>
          <c:tx>
            <c:v>selected calls</c:v>
          </c:tx>
          <c:spPr>
            <a:solidFill>
              <a:schemeClr val="accent2">
                <a:lumMod val="75000"/>
              </a:schemeClr>
            </a:solidFill>
            <a:ln>
              <a:noFill/>
            </a:ln>
            <a:effectLst/>
          </c:spPr>
          <c:invertIfNegative val="0"/>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2-8CE7-46BF-9A45-822D046EADD2}"/>
              </c:ext>
            </c:extLst>
          </c:dPt>
          <c:dLbls>
            <c:delete val="1"/>
          </c:dLbls>
          <c:val>
            <c:numRef>
              <c:f>Sheet2!$M$30:$M$34</c:f>
              <c:numCache>
                <c:formatCode>0.00</c:formatCode>
                <c:ptCount val="5"/>
                <c:pt idx="0" formatCode="\$#,###.0,&quot;k&quot;">
                  <c:v>0</c:v>
                </c:pt>
                <c:pt idx="1">
                  <c:v>0</c:v>
                </c:pt>
                <c:pt idx="2" formatCode="\$#,###.0,&quot;k&quot;">
                  <c:v>207</c:v>
                </c:pt>
                <c:pt idx="3" formatCode="\$#,###.0,&quot;k&quot;">
                  <c:v>0</c:v>
                </c:pt>
                <c:pt idx="4" formatCode="\$#,###.0,&quot;k&quot;">
                  <c:v>0</c:v>
                </c:pt>
              </c:numCache>
            </c:numRef>
          </c:val>
          <c:extLst>
            <c:ext xmlns:c16="http://schemas.microsoft.com/office/drawing/2014/chart" uri="{C3380CC4-5D6E-409C-BE32-E72D297353CC}">
              <c16:uniqueId val="{00000003-8CE7-46BF-9A45-822D046EADD2}"/>
            </c:ext>
          </c:extLst>
        </c:ser>
        <c:dLbls>
          <c:dLblPos val="outEnd"/>
          <c:showLegendKey val="0"/>
          <c:showVal val="1"/>
          <c:showCatName val="0"/>
          <c:showSerName val="0"/>
          <c:showPercent val="0"/>
          <c:showBubbleSize val="0"/>
        </c:dLbls>
        <c:gapWidth val="25"/>
        <c:overlap val="100"/>
        <c:axId val="482952223"/>
        <c:axId val="2029059119"/>
      </c:barChart>
      <c:catAx>
        <c:axId val="48295222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059119"/>
        <c:crosses val="autoZero"/>
        <c:auto val="1"/>
        <c:lblAlgn val="ctr"/>
        <c:lblOffset val="100"/>
        <c:noMultiLvlLbl val="0"/>
      </c:catAx>
      <c:valAx>
        <c:axId val="2029059119"/>
        <c:scaling>
          <c:orientation val="minMax"/>
          <c:min val="0"/>
        </c:scaling>
        <c:delete val="1"/>
        <c:axPos val="t"/>
        <c:numFmt formatCode="General" sourceLinked="1"/>
        <c:majorTickMark val="out"/>
        <c:minorTickMark val="none"/>
        <c:tickLblPos val="nextTo"/>
        <c:crossAx val="48295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ysClr val="windowText" lastClr="000000"/>
                </a:solidFill>
              </a:rPr>
              <a:t>Amount</a:t>
            </a:r>
          </a:p>
        </c:rich>
      </c:tx>
      <c:layout>
        <c:manualLayout>
          <c:xMode val="edge"/>
          <c:yMode val="edge"/>
          <c:x val="5.8257259860756361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8437478069252043E-2"/>
          <c:y val="0.17976555261880792"/>
          <c:w val="0.87295360742120975"/>
          <c:h val="0.75283207864244717"/>
        </c:manualLayout>
      </c:layout>
      <c:barChart>
        <c:barDir val="bar"/>
        <c:grouping val="clustered"/>
        <c:varyColors val="0"/>
        <c:ser>
          <c:idx val="0"/>
          <c:order val="0"/>
          <c:spPr>
            <a:gradFill>
              <a:gsLst>
                <a:gs pos="0">
                  <a:schemeClr val="accent5">
                    <a:lumMod val="75000"/>
                  </a:schemeClr>
                </a:gs>
                <a:gs pos="46000">
                  <a:schemeClr val="accent5">
                    <a:lumMod val="60000"/>
                    <a:lumOff val="40000"/>
                  </a:schemeClr>
                </a:gs>
                <a:gs pos="100000">
                  <a:schemeClr val="accent5">
                    <a:lumMod val="50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Sheet2!$J$30:$J$34</c:f>
              <c:strCache>
                <c:ptCount val="5"/>
                <c:pt idx="0">
                  <c:v>R01</c:v>
                </c:pt>
                <c:pt idx="1">
                  <c:v>R02</c:v>
                </c:pt>
                <c:pt idx="2">
                  <c:v>R03</c:v>
                </c:pt>
                <c:pt idx="3">
                  <c:v>R04</c:v>
                </c:pt>
                <c:pt idx="4">
                  <c:v>R05</c:v>
                </c:pt>
              </c:strCache>
            </c:strRef>
          </c:cat>
          <c:val>
            <c:numRef>
              <c:f>Sheet2!$L$30:$L$34</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6D32-4419-8F31-99622EDD9631}"/>
            </c:ext>
          </c:extLst>
        </c:ser>
        <c:ser>
          <c:idx val="1"/>
          <c:order val="1"/>
          <c:tx>
            <c:v>selected amount</c:v>
          </c:tx>
          <c:spPr>
            <a:solidFill>
              <a:schemeClr val="accent1">
                <a:lumMod val="90000"/>
                <a:lumOff val="10000"/>
              </a:schemeClr>
            </a:solidFill>
            <a:ln>
              <a:noFill/>
            </a:ln>
            <a:effectLst/>
          </c:spPr>
          <c:invertIfNegative val="0"/>
          <c:dLbls>
            <c:delete val="1"/>
          </c:dLbls>
          <c:val>
            <c:numRef>
              <c:f>Sheet2!$N$30:$N$34</c:f>
              <c:numCache>
                <c:formatCode>\$#,###.0,"k"</c:formatCode>
                <c:ptCount val="5"/>
                <c:pt idx="0">
                  <c:v>0</c:v>
                </c:pt>
                <c:pt idx="1">
                  <c:v>0</c:v>
                </c:pt>
                <c:pt idx="2">
                  <c:v>20872</c:v>
                </c:pt>
                <c:pt idx="3">
                  <c:v>0</c:v>
                </c:pt>
                <c:pt idx="4">
                  <c:v>0</c:v>
                </c:pt>
              </c:numCache>
            </c:numRef>
          </c:val>
          <c:extLst>
            <c:ext xmlns:c16="http://schemas.microsoft.com/office/drawing/2014/chart" uri="{C3380CC4-5D6E-409C-BE32-E72D297353CC}">
              <c16:uniqueId val="{00000001-6D32-4419-8F31-99622EDD9631}"/>
            </c:ext>
          </c:extLst>
        </c:ser>
        <c:dLbls>
          <c:dLblPos val="outEnd"/>
          <c:showLegendKey val="0"/>
          <c:showVal val="1"/>
          <c:showCatName val="0"/>
          <c:showSerName val="0"/>
          <c:showPercent val="0"/>
          <c:showBubbleSize val="0"/>
        </c:dLbls>
        <c:gapWidth val="25"/>
        <c:overlap val="100"/>
        <c:axId val="482952223"/>
        <c:axId val="2029059119"/>
      </c:barChart>
      <c:catAx>
        <c:axId val="482952223"/>
        <c:scaling>
          <c:orientation val="maxMin"/>
        </c:scaling>
        <c:delete val="1"/>
        <c:axPos val="l"/>
        <c:numFmt formatCode="General" sourceLinked="1"/>
        <c:majorTickMark val="none"/>
        <c:minorTickMark val="none"/>
        <c:tickLblPos val="nextTo"/>
        <c:crossAx val="2029059119"/>
        <c:crosses val="autoZero"/>
        <c:auto val="1"/>
        <c:lblAlgn val="ctr"/>
        <c:lblOffset val="100"/>
        <c:noMultiLvlLbl val="0"/>
      </c:catAx>
      <c:valAx>
        <c:axId val="2029059119"/>
        <c:scaling>
          <c:orientation val="minMax"/>
        </c:scaling>
        <c:delete val="1"/>
        <c:axPos val="t"/>
        <c:numFmt formatCode="\$#,###.0,&quot;k&quot;" sourceLinked="1"/>
        <c:majorTickMark val="none"/>
        <c:minorTickMark val="none"/>
        <c:tickLblPos val="nextTo"/>
        <c:crossAx val="482952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Project.xlsx]Sheet2!PivotTable3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solidFill>
                  <a:schemeClr val="accent2">
                    <a:lumMod val="60000"/>
                    <a:lumOff val="40000"/>
                  </a:schemeClr>
                </a:solidFill>
              </a:rPr>
              <a:t>Female </a:t>
            </a:r>
            <a:r>
              <a:rPr lang="en-IN" b="0">
                <a:solidFill>
                  <a:sysClr val="windowText" lastClr="000000"/>
                </a:solidFill>
              </a:rPr>
              <a:t>vs</a:t>
            </a:r>
            <a:r>
              <a:rPr lang="en-IN" b="0" baseline="0">
                <a:solidFill>
                  <a:schemeClr val="accent2">
                    <a:lumMod val="60000"/>
                    <a:lumOff val="40000"/>
                  </a:schemeClr>
                </a:solidFill>
              </a:rPr>
              <a:t> </a:t>
            </a:r>
            <a:r>
              <a:rPr lang="en-IN" b="0">
                <a:solidFill>
                  <a:schemeClr val="accent2">
                    <a:lumMod val="50000"/>
                  </a:schemeClr>
                </a:solidFill>
              </a:rPr>
              <a:t>Male</a:t>
            </a:r>
            <a:r>
              <a:rPr lang="en-IN" b="0" baseline="0">
                <a:solidFill>
                  <a:schemeClr val="accent2">
                    <a:lumMod val="50000"/>
                  </a:schemeClr>
                </a:solidFill>
              </a:rPr>
              <a:t> </a:t>
            </a:r>
            <a:r>
              <a:rPr lang="en-IN" b="0" baseline="0">
                <a:solidFill>
                  <a:sysClr val="windowText" lastClr="000000"/>
                </a:solidFill>
              </a:rPr>
              <a:t>Callers</a:t>
            </a:r>
            <a:endParaRPr lang="en-IN" b="0">
              <a:solidFill>
                <a:sysClr val="windowText" lastClr="000000"/>
              </a:solidFill>
            </a:endParaRPr>
          </a:p>
        </c:rich>
      </c:tx>
      <c:layout>
        <c:manualLayout>
          <c:xMode val="edge"/>
          <c:yMode val="edge"/>
          <c:x val="0.20366608253338087"/>
          <c:y val="3.17164281607918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F8C0B3-9AAD-43E8-8568-13FA69A33F4B}"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7FCB5AC-5767-4C59-A4E8-0FED783D03AA}" type="VALUE">
                  <a:rPr lang="en-US">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131D8EF-5ABB-4373-83D7-2842BF3880BB}" type="VALUE">
                  <a:rPr lang="en-US">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A0A1CC6A-30AB-4211-9B0D-A5E7965FFFD2}" type="VALUE">
                  <a:rPr lang="en-US" baseline="0">
                    <a:solidFill>
                      <a:schemeClr val="bg1"/>
                    </a:solidFill>
                  </a:rPr>
                  <a:pPr>
                    <a:defRPr baseline="0">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s>
    <c:plotArea>
      <c:layout/>
      <c:barChart>
        <c:barDir val="col"/>
        <c:grouping val="percentStacked"/>
        <c:varyColors val="0"/>
        <c:ser>
          <c:idx val="0"/>
          <c:order val="0"/>
          <c:tx>
            <c:strRef>
              <c:f>Sheet2!$B$35:$B$36</c:f>
              <c:strCache>
                <c:ptCount val="1"/>
                <c:pt idx="0">
                  <c:v>Female</c:v>
                </c:pt>
              </c:strCache>
            </c:strRef>
          </c:tx>
          <c:spPr>
            <a:solidFill>
              <a:schemeClr val="accent1"/>
            </a:solidFill>
            <a:ln>
              <a:noFill/>
            </a:ln>
            <a:effectLst/>
          </c:spPr>
          <c:invertIfNegative val="0"/>
          <c:dLbls>
            <c:dLbl>
              <c:idx val="1"/>
              <c:tx>
                <c:rich>
                  <a:bodyPr/>
                  <a:lstStyle/>
                  <a:p>
                    <a:fld id="{A0A1CC6A-30AB-4211-9B0D-A5E7965FFFD2}" type="VALUE">
                      <a:rPr lang="en-US" baseline="0">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125D-4884-B6FA-103935B86B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Sheet2!$A$37:$A$40</c:f>
              <c:strCache>
                <c:ptCount val="3"/>
                <c:pt idx="0">
                  <c:v>Cincinnati</c:v>
                </c:pt>
                <c:pt idx="1">
                  <c:v>Cleveland</c:v>
                </c:pt>
                <c:pt idx="2">
                  <c:v>Columbus</c:v>
                </c:pt>
              </c:strCache>
            </c:strRef>
          </c:cat>
          <c:val>
            <c:numRef>
              <c:f>Sheet2!$B$37:$B$40</c:f>
              <c:numCache>
                <c:formatCode>#,##0</c:formatCode>
                <c:ptCount val="3"/>
                <c:pt idx="0">
                  <c:v>144</c:v>
                </c:pt>
                <c:pt idx="1">
                  <c:v>326</c:v>
                </c:pt>
                <c:pt idx="2">
                  <c:v>129</c:v>
                </c:pt>
              </c:numCache>
            </c:numRef>
          </c:val>
          <c:extLst>
            <c:ext xmlns:c16="http://schemas.microsoft.com/office/drawing/2014/chart" uri="{C3380CC4-5D6E-409C-BE32-E72D297353CC}">
              <c16:uniqueId val="{00000000-125D-4884-B6FA-103935B86B20}"/>
            </c:ext>
          </c:extLst>
        </c:ser>
        <c:ser>
          <c:idx val="1"/>
          <c:order val="1"/>
          <c:tx>
            <c:strRef>
              <c:f>Sheet2!$C$35:$C$36</c:f>
              <c:strCache>
                <c:ptCount val="1"/>
                <c:pt idx="0">
                  <c:v>Male</c:v>
                </c:pt>
              </c:strCache>
            </c:strRef>
          </c:tx>
          <c:spPr>
            <a:solidFill>
              <a:schemeClr val="accent2"/>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E131D8EF-5ABB-4373-83D7-2842BF3880BB}" type="VALUE">
                      <a:rPr lang="en-US">
                        <a:solidFill>
                          <a:schemeClr val="bg1"/>
                        </a:solidFill>
                      </a:rPr>
                      <a:pPr>
                        <a:defRPr>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125D-4884-B6FA-103935B86B20}"/>
                </c:ext>
              </c:extLst>
            </c:dLbl>
            <c:dLbl>
              <c:idx val="1"/>
              <c:tx>
                <c:rich>
                  <a:bodyPr/>
                  <a:lstStyle/>
                  <a:p>
                    <a:fld id="{07FCB5AC-5767-4C59-A4E8-0FED783D03AA}" type="VALUE">
                      <a:rPr lang="en-US">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25D-4884-B6FA-103935B86B20}"/>
                </c:ext>
              </c:extLst>
            </c:dLbl>
            <c:dLbl>
              <c:idx val="2"/>
              <c:tx>
                <c:rich>
                  <a:bodyPr/>
                  <a:lstStyle/>
                  <a:p>
                    <a:fld id="{4BF8C0B3-9AAD-43E8-8568-13FA69A33F4B}" type="VALUE">
                      <a:rPr lang="en-US">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25D-4884-B6FA-103935B86B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Sheet2!$A$37:$A$40</c:f>
              <c:strCache>
                <c:ptCount val="3"/>
                <c:pt idx="0">
                  <c:v>Cincinnati</c:v>
                </c:pt>
                <c:pt idx="1">
                  <c:v>Cleveland</c:v>
                </c:pt>
                <c:pt idx="2">
                  <c:v>Columbus</c:v>
                </c:pt>
              </c:strCache>
            </c:strRef>
          </c:cat>
          <c:val>
            <c:numRef>
              <c:f>Sheet2!$C$37:$C$40</c:f>
              <c:numCache>
                <c:formatCode>#,##0</c:formatCode>
                <c:ptCount val="3"/>
                <c:pt idx="0">
                  <c:v>132</c:v>
                </c:pt>
                <c:pt idx="1">
                  <c:v>63</c:v>
                </c:pt>
                <c:pt idx="2">
                  <c:v>206</c:v>
                </c:pt>
              </c:numCache>
            </c:numRef>
          </c:val>
          <c:extLst>
            <c:ext xmlns:c16="http://schemas.microsoft.com/office/drawing/2014/chart" uri="{C3380CC4-5D6E-409C-BE32-E72D297353CC}">
              <c16:uniqueId val="{00000001-125D-4884-B6FA-103935B86B20}"/>
            </c:ext>
          </c:extLst>
        </c:ser>
        <c:dLbls>
          <c:dLblPos val="ctr"/>
          <c:showLegendKey val="0"/>
          <c:showVal val="1"/>
          <c:showCatName val="0"/>
          <c:showSerName val="0"/>
          <c:showPercent val="0"/>
          <c:showBubbleSize val="0"/>
        </c:dLbls>
        <c:gapWidth val="25"/>
        <c:overlap val="100"/>
        <c:axId val="270587536"/>
        <c:axId val="1412306832"/>
      </c:barChart>
      <c:catAx>
        <c:axId val="27058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306832"/>
        <c:crosses val="autoZero"/>
        <c:auto val="1"/>
        <c:lblAlgn val="ctr"/>
        <c:lblOffset val="100"/>
        <c:noMultiLvlLbl val="0"/>
      </c:catAx>
      <c:valAx>
        <c:axId val="14123068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58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Project.xlsx]Sheet2!Rep satisfaction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5">
                  <a:lumMod val="75000"/>
                </a:schemeClr>
              </a:gs>
              <a:gs pos="67000">
                <a:schemeClr val="accent5">
                  <a:lumMod val="20000"/>
                  <a:lumOff val="80000"/>
                </a:schemeClr>
              </a:gs>
              <a:gs pos="100000">
                <a:schemeClr val="accent5">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Sheet2!$B$43</c:f>
              <c:strCache>
                <c:ptCount val="1"/>
                <c:pt idx="0">
                  <c:v>Total</c:v>
                </c:pt>
              </c:strCache>
            </c:strRef>
          </c:tx>
          <c:spPr>
            <a:gradFill>
              <a:gsLst>
                <a:gs pos="0">
                  <a:schemeClr val="accent5">
                    <a:lumMod val="75000"/>
                  </a:schemeClr>
                </a:gs>
                <a:gs pos="67000">
                  <a:schemeClr val="accent5">
                    <a:lumMod val="20000"/>
                    <a:lumOff val="80000"/>
                  </a:schemeClr>
                </a:gs>
                <a:gs pos="100000">
                  <a:schemeClr val="accent5">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Sheet2!$A$44:$A$50</c:f>
              <c:strCache>
                <c:ptCount val="6"/>
                <c:pt idx="0">
                  <c:v>0</c:v>
                </c:pt>
                <c:pt idx="1">
                  <c:v>1</c:v>
                </c:pt>
                <c:pt idx="2">
                  <c:v>2</c:v>
                </c:pt>
                <c:pt idx="3">
                  <c:v>3</c:v>
                </c:pt>
                <c:pt idx="4">
                  <c:v>4</c:v>
                </c:pt>
                <c:pt idx="5">
                  <c:v>5</c:v>
                </c:pt>
              </c:strCache>
            </c:strRef>
          </c:cat>
          <c:val>
            <c:numRef>
              <c:f>Sheet2!$B$44:$B$50</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0A03-4010-986F-440EC7CF221C}"/>
            </c:ext>
          </c:extLst>
        </c:ser>
        <c:dLbls>
          <c:showLegendKey val="0"/>
          <c:showVal val="0"/>
          <c:showCatName val="0"/>
          <c:showSerName val="0"/>
          <c:showPercent val="0"/>
          <c:showBubbleSize val="0"/>
        </c:dLbls>
        <c:gapWidth val="15"/>
        <c:overlap val="-27"/>
        <c:axId val="270685904"/>
        <c:axId val="1412290032"/>
      </c:barChart>
      <c:catAx>
        <c:axId val="27068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290032"/>
        <c:crosses val="autoZero"/>
        <c:auto val="1"/>
        <c:lblAlgn val="ctr"/>
        <c:lblOffset val="100"/>
        <c:noMultiLvlLbl val="0"/>
      </c:catAx>
      <c:valAx>
        <c:axId val="1412290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8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image" Target="../media/image17.sv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image" Target="../media/image16.png"/><Relationship Id="rId5" Type="http://schemas.openxmlformats.org/officeDocument/2006/relationships/image" Target="../media/image10.png"/><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4.png"/><Relationship Id="rId13" Type="http://schemas.openxmlformats.org/officeDocument/2006/relationships/chart" Target="../charts/chart3.xml"/><Relationship Id="rId3" Type="http://schemas.openxmlformats.org/officeDocument/2006/relationships/image" Target="../media/image19.svg"/><Relationship Id="rId7" Type="http://schemas.openxmlformats.org/officeDocument/2006/relationships/image" Target="../media/image23.svg"/><Relationship Id="rId12" Type="http://schemas.openxmlformats.org/officeDocument/2006/relationships/chart" Target="../charts/chart2.xml"/><Relationship Id="rId2" Type="http://schemas.openxmlformats.org/officeDocument/2006/relationships/image" Target="../media/image18.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22.png"/><Relationship Id="rId11" Type="http://schemas.openxmlformats.org/officeDocument/2006/relationships/image" Target="../media/image27.svg"/><Relationship Id="rId5" Type="http://schemas.openxmlformats.org/officeDocument/2006/relationships/image" Target="../media/image21.svg"/><Relationship Id="rId15" Type="http://schemas.openxmlformats.org/officeDocument/2006/relationships/chart" Target="../charts/chart5.xml"/><Relationship Id="rId10" Type="http://schemas.openxmlformats.org/officeDocument/2006/relationships/image" Target="../media/image26.png"/><Relationship Id="rId4" Type="http://schemas.openxmlformats.org/officeDocument/2006/relationships/image" Target="../media/image20.png"/><Relationship Id="rId9" Type="http://schemas.openxmlformats.org/officeDocument/2006/relationships/image" Target="../media/image25.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56072</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251293</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15</xdr:row>
      <xdr:rowOff>92766</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184034</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76903</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63864</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67235</xdr:colOff>
      <xdr:row>11</xdr:row>
      <xdr:rowOff>82176</xdr:rowOff>
    </xdr:from>
    <xdr:to>
      <xdr:col>13</xdr:col>
      <xdr:colOff>311353</xdr:colOff>
      <xdr:row>19</xdr:row>
      <xdr:rowOff>163871</xdr:rowOff>
    </xdr:to>
    <xdr:sp macro="" textlink="">
      <xdr:nvSpPr>
        <xdr:cNvPr id="16" name="Rectangle 15">
          <a:extLst>
            <a:ext uri="{FF2B5EF4-FFF2-40B4-BE49-F238E27FC236}">
              <a16:creationId xmlns:a16="http://schemas.microsoft.com/office/drawing/2014/main" id="{0714D2AB-1271-EF1E-4547-49FE3209306A}"/>
            </a:ext>
          </a:extLst>
        </xdr:cNvPr>
        <xdr:cNvSpPr/>
      </xdr:nvSpPr>
      <xdr:spPr>
        <a:xfrm>
          <a:off x="2517106" y="2605789"/>
          <a:ext cx="5094699" cy="1917050"/>
        </a:xfrm>
        <a:prstGeom prst="rect">
          <a:avLst/>
        </a:prstGeom>
        <a:solidFill>
          <a:schemeClr val="accent1">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455858</xdr:colOff>
      <xdr:row>2</xdr:row>
      <xdr:rowOff>98315</xdr:rowOff>
    </xdr:from>
    <xdr:to>
      <xdr:col>14</xdr:col>
      <xdr:colOff>537883</xdr:colOff>
      <xdr:row>11</xdr:row>
      <xdr:rowOff>37353</xdr:rowOff>
    </xdr:to>
    <xdr:graphicFrame macro="">
      <xdr:nvGraphicFramePr>
        <xdr:cNvPr id="28" name="Chart 27">
          <a:extLst>
            <a:ext uri="{FF2B5EF4-FFF2-40B4-BE49-F238E27FC236}">
              <a16:creationId xmlns:a16="http://schemas.microsoft.com/office/drawing/2014/main" id="{8A07ABA8-FCB2-4A62-8C25-570717336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89648</xdr:colOff>
      <xdr:row>3</xdr:row>
      <xdr:rowOff>3585</xdr:rowOff>
    </xdr:from>
    <xdr:to>
      <xdr:col>4</xdr:col>
      <xdr:colOff>449581</xdr:colOff>
      <xdr:row>8</xdr:row>
      <xdr:rowOff>205207</xdr:rowOff>
    </xdr:to>
    <xdr:sp macro="" textlink="Sheet2!A4">
      <xdr:nvSpPr>
        <xdr:cNvPr id="2" name="Rectangle 1">
          <a:extLst>
            <a:ext uri="{FF2B5EF4-FFF2-40B4-BE49-F238E27FC236}">
              <a16:creationId xmlns:a16="http://schemas.microsoft.com/office/drawing/2014/main" id="{2FC1E94A-EA57-ECF3-6D73-479BD96A3981}"/>
            </a:ext>
          </a:extLst>
        </xdr:cNvPr>
        <xdr:cNvSpPr/>
      </xdr:nvSpPr>
      <xdr:spPr>
        <a:xfrm>
          <a:off x="478119" y="698350"/>
          <a:ext cx="1824168" cy="1359563"/>
        </a:xfrm>
        <a:prstGeom prst="rect">
          <a:avLst/>
        </a:prstGeom>
        <a:effectLst>
          <a:outerShdw blurRad="2540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5C6A950-E8CB-4C53-B497-2348C83FF79E}" type="TxLink">
            <a:rPr lang="en-US" sz="3200" b="0" i="0" u="none" strike="noStrike">
              <a:solidFill>
                <a:schemeClr val="bg1"/>
              </a:solidFill>
              <a:latin typeface="Franklin Gothic Demi Cond" panose="020B0706030402020204" pitchFamily="34" charset="0"/>
            </a:rPr>
            <a:pPr algn="ctr"/>
            <a:t>1,000</a:t>
          </a:fld>
          <a:endParaRPr lang="en-US" sz="3200">
            <a:solidFill>
              <a:schemeClr val="bg1"/>
            </a:solidFill>
            <a:latin typeface="Franklin Gothic Demi Cond" panose="020B0706030402020204" pitchFamily="34" charset="0"/>
          </a:endParaRPr>
        </a:p>
      </xdr:txBody>
    </xdr:sp>
    <xdr:clientData/>
  </xdr:twoCellAnchor>
  <xdr:twoCellAnchor>
    <xdr:from>
      <xdr:col>2</xdr:col>
      <xdr:colOff>67789</xdr:colOff>
      <xdr:row>3</xdr:row>
      <xdr:rowOff>165698</xdr:rowOff>
    </xdr:from>
    <xdr:to>
      <xdr:col>4</xdr:col>
      <xdr:colOff>114450</xdr:colOff>
      <xdr:row>4</xdr:row>
      <xdr:rowOff>221132</xdr:rowOff>
    </xdr:to>
    <xdr:sp macro="" textlink="">
      <xdr:nvSpPr>
        <xdr:cNvPr id="3" name="TextBox 2">
          <a:extLst>
            <a:ext uri="{FF2B5EF4-FFF2-40B4-BE49-F238E27FC236}">
              <a16:creationId xmlns:a16="http://schemas.microsoft.com/office/drawing/2014/main" id="{961076F0-C7D7-2BAE-0D8D-5B89A6515CD7}"/>
            </a:ext>
          </a:extLst>
        </xdr:cNvPr>
        <xdr:cNvSpPr txBox="1"/>
      </xdr:nvSpPr>
      <xdr:spPr>
        <a:xfrm>
          <a:off x="897024" y="860463"/>
          <a:ext cx="1070132" cy="287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bg1"/>
              </a:solidFill>
            </a:rPr>
            <a:t>CALLS</a:t>
          </a:r>
        </a:p>
      </xdr:txBody>
    </xdr:sp>
    <xdr:clientData/>
  </xdr:twoCellAnchor>
  <xdr:twoCellAnchor editAs="oneCell">
    <xdr:from>
      <xdr:col>1</xdr:col>
      <xdr:colOff>405508</xdr:colOff>
      <xdr:row>3</xdr:row>
      <xdr:rowOff>146241</xdr:rowOff>
    </xdr:from>
    <xdr:to>
      <xdr:col>2</xdr:col>
      <xdr:colOff>275830</xdr:colOff>
      <xdr:row>4</xdr:row>
      <xdr:rowOff>223083</xdr:rowOff>
    </xdr:to>
    <xdr:pic>
      <xdr:nvPicPr>
        <xdr:cNvPr id="4" name="Graphic 3" descr="Receiver with solid fill">
          <a:extLst>
            <a:ext uri="{FF2B5EF4-FFF2-40B4-BE49-F238E27FC236}">
              <a16:creationId xmlns:a16="http://schemas.microsoft.com/office/drawing/2014/main" id="{28BF5B1A-818A-4714-B708-3C18996E238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592116">
          <a:off x="793979" y="841006"/>
          <a:ext cx="311086" cy="308430"/>
        </a:xfrm>
        <a:prstGeom prst="rect">
          <a:avLst/>
        </a:prstGeom>
      </xdr:spPr>
    </xdr:pic>
    <xdr:clientData/>
  </xdr:twoCellAnchor>
  <xdr:twoCellAnchor>
    <xdr:from>
      <xdr:col>1</xdr:col>
      <xdr:colOff>419579</xdr:colOff>
      <xdr:row>6</xdr:row>
      <xdr:rowOff>225014</xdr:rowOff>
    </xdr:from>
    <xdr:to>
      <xdr:col>4</xdr:col>
      <xdr:colOff>138804</xdr:colOff>
      <xdr:row>8</xdr:row>
      <xdr:rowOff>114968</xdr:rowOff>
    </xdr:to>
    <xdr:sp macro="" textlink="Sheet2!A11">
      <xdr:nvSpPr>
        <xdr:cNvPr id="5" name="TextBox 4">
          <a:extLst>
            <a:ext uri="{FF2B5EF4-FFF2-40B4-BE49-F238E27FC236}">
              <a16:creationId xmlns:a16="http://schemas.microsoft.com/office/drawing/2014/main" id="{AA740AE2-AFB9-D37F-046E-FF925D7C0280}"/>
            </a:ext>
          </a:extLst>
        </xdr:cNvPr>
        <xdr:cNvSpPr txBox="1"/>
      </xdr:nvSpPr>
      <xdr:spPr>
        <a:xfrm>
          <a:off x="808050" y="1614543"/>
          <a:ext cx="1183460" cy="353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F36E85-D41F-4E2B-9A0C-A9792F019077}" type="TxLink">
            <a:rPr lang="en-US" sz="1400" b="1" i="0" u="none" strike="noStrike">
              <a:solidFill>
                <a:schemeClr val="bg1"/>
              </a:solidFill>
              <a:latin typeface="Gill Sans MT"/>
            </a:rPr>
            <a:pPr algn="ctr"/>
            <a:t>207</a:t>
          </a:fld>
          <a:endParaRPr lang="en-IN" sz="1400" b="1">
            <a:solidFill>
              <a:schemeClr val="bg1"/>
            </a:solidFill>
          </a:endParaRPr>
        </a:p>
      </xdr:txBody>
    </xdr:sp>
    <xdr:clientData/>
  </xdr:twoCellAnchor>
  <xdr:twoCellAnchor>
    <xdr:from>
      <xdr:col>1</xdr:col>
      <xdr:colOff>97118</xdr:colOff>
      <xdr:row>10</xdr:row>
      <xdr:rowOff>0</xdr:rowOff>
    </xdr:from>
    <xdr:to>
      <xdr:col>4</xdr:col>
      <xdr:colOff>441811</xdr:colOff>
      <xdr:row>15</xdr:row>
      <xdr:rowOff>92785</xdr:rowOff>
    </xdr:to>
    <xdr:sp macro="" textlink="">
      <xdr:nvSpPr>
        <xdr:cNvPr id="6" name="Rectangle 5">
          <a:extLst>
            <a:ext uri="{FF2B5EF4-FFF2-40B4-BE49-F238E27FC236}">
              <a16:creationId xmlns:a16="http://schemas.microsoft.com/office/drawing/2014/main" id="{957FC13B-5F94-450B-835A-BA60B716DD81}"/>
            </a:ext>
          </a:extLst>
        </xdr:cNvPr>
        <xdr:cNvSpPr/>
      </xdr:nvSpPr>
      <xdr:spPr>
        <a:xfrm>
          <a:off x="485589" y="2315882"/>
          <a:ext cx="1808928" cy="1250727"/>
        </a:xfrm>
        <a:prstGeom prst="rect">
          <a:avLst/>
        </a:prstGeom>
        <a:effectLst>
          <a:outerShdw blurRad="2540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solidFill>
                <a:schemeClr val="bg1"/>
              </a:solidFill>
              <a:latin typeface="Franklin Gothic Demi Cond" panose="020B0706030402020204" pitchFamily="34" charset="0"/>
            </a:rPr>
            <a:t>$96,623</a:t>
          </a:r>
        </a:p>
      </xdr:txBody>
    </xdr:sp>
    <xdr:clientData/>
  </xdr:twoCellAnchor>
  <xdr:twoCellAnchor>
    <xdr:from>
      <xdr:col>2</xdr:col>
      <xdr:colOff>116911</xdr:colOff>
      <xdr:row>10</xdr:row>
      <xdr:rowOff>130589</xdr:rowOff>
    </xdr:from>
    <xdr:to>
      <xdr:col>4</xdr:col>
      <xdr:colOff>165735</xdr:colOff>
      <xdr:row>11</xdr:row>
      <xdr:rowOff>160058</xdr:rowOff>
    </xdr:to>
    <xdr:sp macro="" textlink="">
      <xdr:nvSpPr>
        <xdr:cNvPr id="7" name="TextBox 6">
          <a:extLst>
            <a:ext uri="{FF2B5EF4-FFF2-40B4-BE49-F238E27FC236}">
              <a16:creationId xmlns:a16="http://schemas.microsoft.com/office/drawing/2014/main" id="{9C032405-12F6-4FAA-86BE-8DC2E36361AF}"/>
            </a:ext>
          </a:extLst>
        </xdr:cNvPr>
        <xdr:cNvSpPr txBox="1"/>
      </xdr:nvSpPr>
      <xdr:spPr>
        <a:xfrm>
          <a:off x="945586" y="2416589"/>
          <a:ext cx="1067999" cy="258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AMOUNT</a:t>
          </a:r>
        </a:p>
      </xdr:txBody>
    </xdr:sp>
    <xdr:clientData/>
  </xdr:twoCellAnchor>
  <xdr:twoCellAnchor>
    <xdr:from>
      <xdr:col>1</xdr:col>
      <xdr:colOff>439898</xdr:colOff>
      <xdr:row>13</xdr:row>
      <xdr:rowOff>185977</xdr:rowOff>
    </xdr:from>
    <xdr:to>
      <xdr:col>4</xdr:col>
      <xdr:colOff>161514</xdr:colOff>
      <xdr:row>15</xdr:row>
      <xdr:rowOff>47663</xdr:rowOff>
    </xdr:to>
    <xdr:sp macro="" textlink="Sheet2!B11">
      <xdr:nvSpPr>
        <xdr:cNvPr id="9" name="TextBox 8">
          <a:extLst>
            <a:ext uri="{FF2B5EF4-FFF2-40B4-BE49-F238E27FC236}">
              <a16:creationId xmlns:a16="http://schemas.microsoft.com/office/drawing/2014/main" id="{04E40EC9-44B8-4AB8-BE37-92F2779DF50F}"/>
            </a:ext>
          </a:extLst>
        </xdr:cNvPr>
        <xdr:cNvSpPr txBox="1"/>
      </xdr:nvSpPr>
      <xdr:spPr>
        <a:xfrm>
          <a:off x="828369" y="3196624"/>
          <a:ext cx="1185851" cy="32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7DA516-F076-4B29-983A-B54827A67DC3}" type="TxLink">
            <a:rPr lang="en-US" sz="1400" b="1" i="0" u="none" strike="noStrike">
              <a:solidFill>
                <a:schemeClr val="bg1"/>
              </a:solidFill>
              <a:latin typeface="Gill Sans MT"/>
            </a:rPr>
            <a:pPr algn="ctr"/>
            <a:t>$20,872</a:t>
          </a:fld>
          <a:endParaRPr lang="en-IN" sz="1400" b="1">
            <a:solidFill>
              <a:schemeClr val="bg1"/>
            </a:solidFill>
          </a:endParaRPr>
        </a:p>
      </xdr:txBody>
    </xdr:sp>
    <xdr:clientData/>
  </xdr:twoCellAnchor>
  <xdr:twoCellAnchor>
    <xdr:from>
      <xdr:col>1</xdr:col>
      <xdr:colOff>59764</xdr:colOff>
      <xdr:row>16</xdr:row>
      <xdr:rowOff>177961</xdr:rowOff>
    </xdr:from>
    <xdr:to>
      <xdr:col>4</xdr:col>
      <xdr:colOff>472440</xdr:colOff>
      <xdr:row>22</xdr:row>
      <xdr:rowOff>168087</xdr:rowOff>
    </xdr:to>
    <xdr:sp macro="" textlink="Sheet2!C4">
      <xdr:nvSpPr>
        <xdr:cNvPr id="10" name="Rectangle 9">
          <a:extLst>
            <a:ext uri="{FF2B5EF4-FFF2-40B4-BE49-F238E27FC236}">
              <a16:creationId xmlns:a16="http://schemas.microsoft.com/office/drawing/2014/main" id="{9B7C01CC-D59D-42C9-848E-A03A65195077}"/>
            </a:ext>
          </a:extLst>
        </xdr:cNvPr>
        <xdr:cNvSpPr/>
      </xdr:nvSpPr>
      <xdr:spPr>
        <a:xfrm>
          <a:off x="448235" y="3883373"/>
          <a:ext cx="1876911" cy="1379655"/>
        </a:xfrm>
        <a:prstGeom prst="rect">
          <a:avLst/>
        </a:prstGeom>
        <a:effectLst>
          <a:outerShdw blurRad="2540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5514FD-28AF-4877-AB0C-72129922E0F6}" type="TxLink">
            <a:rPr lang="en-US" sz="2800" b="0" i="0" u="none" strike="noStrike">
              <a:solidFill>
                <a:schemeClr val="bg1"/>
              </a:solidFill>
              <a:latin typeface="Franklin Gothic Demi Cond" panose="020B0706030402020204" pitchFamily="34" charset="0"/>
            </a:rPr>
            <a:pPr algn="ctr"/>
            <a:t>89,850</a:t>
          </a:fld>
          <a:endParaRPr lang="en-US" sz="2800">
            <a:solidFill>
              <a:schemeClr val="bg1"/>
            </a:solidFill>
            <a:latin typeface="Franklin Gothic Demi Cond" panose="020B0706030402020204" pitchFamily="34" charset="0"/>
          </a:endParaRPr>
        </a:p>
      </xdr:txBody>
    </xdr:sp>
    <xdr:clientData/>
  </xdr:twoCellAnchor>
  <xdr:twoCellAnchor>
    <xdr:from>
      <xdr:col>1</xdr:col>
      <xdr:colOff>303986</xdr:colOff>
      <xdr:row>17</xdr:row>
      <xdr:rowOff>141375</xdr:rowOff>
    </xdr:from>
    <xdr:to>
      <xdr:col>4</xdr:col>
      <xdr:colOff>457200</xdr:colOff>
      <xdr:row>18</xdr:row>
      <xdr:rowOff>173018</xdr:rowOff>
    </xdr:to>
    <xdr:sp macro="" textlink="">
      <xdr:nvSpPr>
        <xdr:cNvPr id="11" name="TextBox 10">
          <a:extLst>
            <a:ext uri="{FF2B5EF4-FFF2-40B4-BE49-F238E27FC236}">
              <a16:creationId xmlns:a16="http://schemas.microsoft.com/office/drawing/2014/main" id="{880B2D7F-358C-42EF-BB6F-1C352646C529}"/>
            </a:ext>
          </a:extLst>
        </xdr:cNvPr>
        <xdr:cNvSpPr txBox="1"/>
      </xdr:nvSpPr>
      <xdr:spPr>
        <a:xfrm>
          <a:off x="692457" y="4078375"/>
          <a:ext cx="1617449" cy="263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TOTAL DURATION</a:t>
          </a:r>
        </a:p>
      </xdr:txBody>
    </xdr:sp>
    <xdr:clientData/>
  </xdr:twoCellAnchor>
  <xdr:twoCellAnchor>
    <xdr:from>
      <xdr:col>1</xdr:col>
      <xdr:colOff>391635</xdr:colOff>
      <xdr:row>20</xdr:row>
      <xdr:rowOff>218745</xdr:rowOff>
    </xdr:from>
    <xdr:to>
      <xdr:col>4</xdr:col>
      <xdr:colOff>131631</xdr:colOff>
      <xdr:row>22</xdr:row>
      <xdr:rowOff>114897</xdr:rowOff>
    </xdr:to>
    <xdr:sp macro="" textlink="Sheet2!C11">
      <xdr:nvSpPr>
        <xdr:cNvPr id="13" name="TextBox 12">
          <a:extLst>
            <a:ext uri="{FF2B5EF4-FFF2-40B4-BE49-F238E27FC236}">
              <a16:creationId xmlns:a16="http://schemas.microsoft.com/office/drawing/2014/main" id="{61AD5F04-0A58-4347-B8EF-54C83D80443E}"/>
            </a:ext>
          </a:extLst>
        </xdr:cNvPr>
        <xdr:cNvSpPr txBox="1"/>
      </xdr:nvSpPr>
      <xdr:spPr>
        <a:xfrm>
          <a:off x="780106" y="4850510"/>
          <a:ext cx="1204231" cy="359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5819A4-99FA-4A4F-82DA-84DFA2A98D34}" type="TxLink">
            <a:rPr lang="en-US" sz="1100" b="0" i="0" u="none" strike="noStrike">
              <a:solidFill>
                <a:schemeClr val="bg1"/>
              </a:solidFill>
              <a:latin typeface="Gill Sans MT"/>
            </a:rPr>
            <a:t>17,700</a:t>
          </a:fld>
          <a:endParaRPr lang="en-IN" sz="1400" b="1">
            <a:solidFill>
              <a:schemeClr val="bg1"/>
            </a:solidFill>
          </a:endParaRPr>
        </a:p>
      </xdr:txBody>
    </xdr:sp>
    <xdr:clientData/>
  </xdr:twoCellAnchor>
  <xdr:twoCellAnchor>
    <xdr:from>
      <xdr:col>1</xdr:col>
      <xdr:colOff>29884</xdr:colOff>
      <xdr:row>24</xdr:row>
      <xdr:rowOff>135926</xdr:rowOff>
    </xdr:from>
    <xdr:to>
      <xdr:col>4</xdr:col>
      <xdr:colOff>366059</xdr:colOff>
      <xdr:row>30</xdr:row>
      <xdr:rowOff>52294</xdr:rowOff>
    </xdr:to>
    <xdr:sp macro="" textlink="Sheet2!D4">
      <xdr:nvSpPr>
        <xdr:cNvPr id="14" name="Rectangle 13">
          <a:extLst>
            <a:ext uri="{FF2B5EF4-FFF2-40B4-BE49-F238E27FC236}">
              <a16:creationId xmlns:a16="http://schemas.microsoft.com/office/drawing/2014/main" id="{92DCCF5A-6E16-4E43-96FB-84AE32CE72DF}"/>
            </a:ext>
          </a:extLst>
        </xdr:cNvPr>
        <xdr:cNvSpPr/>
      </xdr:nvSpPr>
      <xdr:spPr>
        <a:xfrm>
          <a:off x="418355" y="5694044"/>
          <a:ext cx="1800410" cy="1305897"/>
        </a:xfrm>
        <a:prstGeom prst="rect">
          <a:avLst/>
        </a:prstGeom>
        <a:effectLst>
          <a:outerShdw blurRad="2540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F9424D-69B8-4E45-AEA9-ED91E1C5136E}" type="TxLink">
            <a:rPr lang="en-US" sz="2800" b="0" i="0" u="none" strike="noStrike">
              <a:solidFill>
                <a:schemeClr val="bg1"/>
              </a:solidFill>
              <a:latin typeface="Franklin Gothic Demi Cond" panose="020B0706030402020204" pitchFamily="34" charset="0"/>
            </a:rPr>
            <a:pPr algn="ctr"/>
            <a:t>3.9</a:t>
          </a:fld>
          <a:endParaRPr lang="en-US" sz="2800">
            <a:solidFill>
              <a:schemeClr val="bg1"/>
            </a:solidFill>
            <a:latin typeface="Franklin Gothic Demi Cond" panose="020B0706030402020204" pitchFamily="34" charset="0"/>
          </a:endParaRPr>
        </a:p>
      </xdr:txBody>
    </xdr:sp>
    <xdr:clientData/>
  </xdr:twoCellAnchor>
  <xdr:twoCellAnchor>
    <xdr:from>
      <xdr:col>2</xdr:col>
      <xdr:colOff>14388</xdr:colOff>
      <xdr:row>25</xdr:row>
      <xdr:rowOff>747</xdr:rowOff>
    </xdr:from>
    <xdr:to>
      <xdr:col>4</xdr:col>
      <xdr:colOff>442856</xdr:colOff>
      <xdr:row>26</xdr:row>
      <xdr:rowOff>34404</xdr:rowOff>
    </xdr:to>
    <xdr:sp macro="" textlink="">
      <xdr:nvSpPr>
        <xdr:cNvPr id="15" name="TextBox 14">
          <a:extLst>
            <a:ext uri="{FF2B5EF4-FFF2-40B4-BE49-F238E27FC236}">
              <a16:creationId xmlns:a16="http://schemas.microsoft.com/office/drawing/2014/main" id="{6CAD82D0-6761-46F4-9C1E-6C432DBDADD9}"/>
            </a:ext>
          </a:extLst>
        </xdr:cNvPr>
        <xdr:cNvSpPr txBox="1"/>
      </xdr:nvSpPr>
      <xdr:spPr>
        <a:xfrm>
          <a:off x="843623" y="5790453"/>
          <a:ext cx="1451939" cy="265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AVERAGE</a:t>
          </a:r>
          <a:r>
            <a:rPr lang="en-IN" sz="1100" baseline="0">
              <a:solidFill>
                <a:schemeClr val="bg1"/>
              </a:solidFill>
            </a:rPr>
            <a:t> RATING</a:t>
          </a:r>
          <a:endParaRPr lang="en-IN" sz="1100">
            <a:solidFill>
              <a:schemeClr val="bg1"/>
            </a:solidFill>
          </a:endParaRPr>
        </a:p>
      </xdr:txBody>
    </xdr:sp>
    <xdr:clientData/>
  </xdr:twoCellAnchor>
  <xdr:twoCellAnchor>
    <xdr:from>
      <xdr:col>1</xdr:col>
      <xdr:colOff>303235</xdr:colOff>
      <xdr:row>28</xdr:row>
      <xdr:rowOff>143734</xdr:rowOff>
    </xdr:from>
    <xdr:to>
      <xdr:col>4</xdr:col>
      <xdr:colOff>49455</xdr:colOff>
      <xdr:row>30</xdr:row>
      <xdr:rowOff>29883</xdr:rowOff>
    </xdr:to>
    <xdr:sp macro="" textlink="Sheet2!D11">
      <xdr:nvSpPr>
        <xdr:cNvPr id="17" name="TextBox 16">
          <a:extLst>
            <a:ext uri="{FF2B5EF4-FFF2-40B4-BE49-F238E27FC236}">
              <a16:creationId xmlns:a16="http://schemas.microsoft.com/office/drawing/2014/main" id="{E2D94CE5-8AE9-41DD-9F90-06D1010EEB47}"/>
            </a:ext>
          </a:extLst>
        </xdr:cNvPr>
        <xdr:cNvSpPr txBox="1"/>
      </xdr:nvSpPr>
      <xdr:spPr>
        <a:xfrm>
          <a:off x="691706" y="6628205"/>
          <a:ext cx="1210455" cy="349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04B36D-38FA-4CD5-A7DA-C28E3591D216}" type="TxLink">
            <a:rPr lang="en-US" sz="1400" b="1" i="0" u="none" strike="noStrike">
              <a:solidFill>
                <a:schemeClr val="bg1"/>
              </a:solidFill>
              <a:latin typeface="Gill Sans MT"/>
            </a:rPr>
            <a:pPr algn="ctr"/>
            <a:t>3.9</a:t>
          </a:fld>
          <a:endParaRPr lang="en-IN" sz="1400" b="1">
            <a:solidFill>
              <a:schemeClr val="bg1"/>
            </a:solidFill>
          </a:endParaRPr>
        </a:p>
      </xdr:txBody>
    </xdr:sp>
    <xdr:clientData/>
  </xdr:twoCellAnchor>
  <xdr:twoCellAnchor>
    <xdr:from>
      <xdr:col>1</xdr:col>
      <xdr:colOff>29804</xdr:colOff>
      <xdr:row>31</xdr:row>
      <xdr:rowOff>67236</xdr:rowOff>
    </xdr:from>
    <xdr:to>
      <xdr:col>4</xdr:col>
      <xdr:colOff>307938</xdr:colOff>
      <xdr:row>36</xdr:row>
      <xdr:rowOff>190051</xdr:rowOff>
    </xdr:to>
    <xdr:sp macro="" textlink="Sheet2!D4">
      <xdr:nvSpPr>
        <xdr:cNvPr id="18" name="Rectangle 17">
          <a:extLst>
            <a:ext uri="{FF2B5EF4-FFF2-40B4-BE49-F238E27FC236}">
              <a16:creationId xmlns:a16="http://schemas.microsoft.com/office/drawing/2014/main" id="{3BB601D1-3E5B-42CC-9001-3B27FFFEDFEF}"/>
            </a:ext>
          </a:extLst>
        </xdr:cNvPr>
        <xdr:cNvSpPr/>
      </xdr:nvSpPr>
      <xdr:spPr>
        <a:xfrm>
          <a:off x="418275" y="7246471"/>
          <a:ext cx="1742369" cy="1280756"/>
        </a:xfrm>
        <a:prstGeom prst="rect">
          <a:avLst/>
        </a:prstGeom>
        <a:effectLst>
          <a:outerShdw blurRad="254000" dist="1270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9B089A-09B3-41FE-8E08-9D5E52D0FD2D}" type="TxLink">
            <a:rPr lang="en-US" sz="3200" b="0" i="0" u="none" strike="noStrike">
              <a:solidFill>
                <a:schemeClr val="bg1"/>
              </a:solidFill>
              <a:latin typeface="Franklin Gothic Demi" panose="020B0703020102020204" pitchFamily="34" charset="0"/>
            </a:rPr>
            <a:t>3.9</a:t>
          </a:fld>
          <a:endParaRPr lang="en-US" sz="3200">
            <a:solidFill>
              <a:schemeClr val="bg1"/>
            </a:solidFill>
            <a:latin typeface="Franklin Gothic Demi" panose="020B0703020102020204" pitchFamily="34" charset="0"/>
          </a:endParaRPr>
        </a:p>
      </xdr:txBody>
    </xdr:sp>
    <xdr:clientData/>
  </xdr:twoCellAnchor>
  <xdr:twoCellAnchor>
    <xdr:from>
      <xdr:col>1</xdr:col>
      <xdr:colOff>324122</xdr:colOff>
      <xdr:row>32</xdr:row>
      <xdr:rowOff>27672</xdr:rowOff>
    </xdr:from>
    <xdr:to>
      <xdr:col>4</xdr:col>
      <xdr:colOff>263264</xdr:colOff>
      <xdr:row>33</xdr:row>
      <xdr:rowOff>31525</xdr:rowOff>
    </xdr:to>
    <xdr:sp macro="" textlink="">
      <xdr:nvSpPr>
        <xdr:cNvPr id="19" name="TextBox 18">
          <a:extLst>
            <a:ext uri="{FF2B5EF4-FFF2-40B4-BE49-F238E27FC236}">
              <a16:creationId xmlns:a16="http://schemas.microsoft.com/office/drawing/2014/main" id="{70A3D847-FC4E-4051-AC89-3570D41DC5E8}"/>
            </a:ext>
          </a:extLst>
        </xdr:cNvPr>
        <xdr:cNvSpPr txBox="1"/>
      </xdr:nvSpPr>
      <xdr:spPr>
        <a:xfrm>
          <a:off x="712593" y="7438496"/>
          <a:ext cx="1403377" cy="23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HAPPY</a:t>
          </a:r>
          <a:r>
            <a:rPr lang="en-IN" sz="1100" baseline="0">
              <a:solidFill>
                <a:schemeClr val="bg1"/>
              </a:solidFill>
            </a:rPr>
            <a:t> CALLERS</a:t>
          </a:r>
          <a:endParaRPr lang="en-IN" sz="1100">
            <a:solidFill>
              <a:schemeClr val="bg1"/>
            </a:solidFill>
          </a:endParaRPr>
        </a:p>
      </xdr:txBody>
    </xdr:sp>
    <xdr:clientData/>
  </xdr:twoCellAnchor>
  <xdr:twoCellAnchor>
    <xdr:from>
      <xdr:col>1</xdr:col>
      <xdr:colOff>276254</xdr:colOff>
      <xdr:row>35</xdr:row>
      <xdr:rowOff>42797</xdr:rowOff>
    </xdr:from>
    <xdr:to>
      <xdr:col>3</xdr:col>
      <xdr:colOff>542514</xdr:colOff>
      <xdr:row>36</xdr:row>
      <xdr:rowOff>144779</xdr:rowOff>
    </xdr:to>
    <xdr:sp macro="" textlink="Sheet2!E11">
      <xdr:nvSpPr>
        <xdr:cNvPr id="21" name="TextBox 20">
          <a:extLst>
            <a:ext uri="{FF2B5EF4-FFF2-40B4-BE49-F238E27FC236}">
              <a16:creationId xmlns:a16="http://schemas.microsoft.com/office/drawing/2014/main" id="{CAE2307A-4A12-43B8-9216-C1504E148B2E}"/>
            </a:ext>
          </a:extLst>
        </xdr:cNvPr>
        <xdr:cNvSpPr txBox="1"/>
      </xdr:nvSpPr>
      <xdr:spPr>
        <a:xfrm>
          <a:off x="664725" y="8148385"/>
          <a:ext cx="1117907" cy="333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60637A2-CC4D-4C72-8251-E07E0BC73FE5}" type="TxLink">
            <a:rPr lang="en-US" sz="1400" b="1" i="0" u="none" strike="noStrike">
              <a:solidFill>
                <a:schemeClr val="bg1"/>
              </a:solidFill>
              <a:latin typeface="Gill Sans MT"/>
            </a:rPr>
            <a:pPr algn="ctr"/>
            <a:t>60</a:t>
          </a:fld>
          <a:endParaRPr lang="en-IN" sz="1400" b="1">
            <a:solidFill>
              <a:schemeClr val="bg1"/>
            </a:solidFill>
          </a:endParaRPr>
        </a:p>
      </xdr:txBody>
    </xdr:sp>
    <xdr:clientData/>
  </xdr:twoCellAnchor>
  <xdr:twoCellAnchor editAs="oneCell">
    <xdr:from>
      <xdr:col>1</xdr:col>
      <xdr:colOff>309426</xdr:colOff>
      <xdr:row>10</xdr:row>
      <xdr:rowOff>106171</xdr:rowOff>
    </xdr:from>
    <xdr:to>
      <xdr:col>2</xdr:col>
      <xdr:colOff>243587</xdr:colOff>
      <xdr:row>12</xdr:row>
      <xdr:rowOff>9175</xdr:rowOff>
    </xdr:to>
    <xdr:pic>
      <xdr:nvPicPr>
        <xdr:cNvPr id="22" name="Graphic 21" descr="Shopping cart with solid fill">
          <a:extLst>
            <a:ext uri="{FF2B5EF4-FFF2-40B4-BE49-F238E27FC236}">
              <a16:creationId xmlns:a16="http://schemas.microsoft.com/office/drawing/2014/main" id="{A7F835AA-D027-41B4-9FA5-C236226BA1E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21076141">
          <a:off x="697897" y="2422053"/>
          <a:ext cx="374925" cy="366181"/>
        </a:xfrm>
        <a:prstGeom prst="rect">
          <a:avLst/>
        </a:prstGeom>
      </xdr:spPr>
    </xdr:pic>
    <xdr:clientData/>
  </xdr:twoCellAnchor>
  <xdr:twoCellAnchor editAs="oneCell">
    <xdr:from>
      <xdr:col>1</xdr:col>
      <xdr:colOff>183499</xdr:colOff>
      <xdr:row>17</xdr:row>
      <xdr:rowOff>88178</xdr:rowOff>
    </xdr:from>
    <xdr:to>
      <xdr:col>2</xdr:col>
      <xdr:colOff>76185</xdr:colOff>
      <xdr:row>18</xdr:row>
      <xdr:rowOff>187421</xdr:rowOff>
    </xdr:to>
    <xdr:pic>
      <xdr:nvPicPr>
        <xdr:cNvPr id="23" name="Graphic 22" descr="Hourglass Finished with solid fill">
          <a:extLst>
            <a:ext uri="{FF2B5EF4-FFF2-40B4-BE49-F238E27FC236}">
              <a16:creationId xmlns:a16="http://schemas.microsoft.com/office/drawing/2014/main" id="{F08C523C-AB71-48A7-A44A-B9819D728CA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20936659">
          <a:off x="571970" y="4025178"/>
          <a:ext cx="333450" cy="330831"/>
        </a:xfrm>
        <a:prstGeom prst="rect">
          <a:avLst/>
        </a:prstGeom>
      </xdr:spPr>
    </xdr:pic>
    <xdr:clientData/>
  </xdr:twoCellAnchor>
  <xdr:twoCellAnchor editAs="oneCell">
    <xdr:from>
      <xdr:col>1</xdr:col>
      <xdr:colOff>117737</xdr:colOff>
      <xdr:row>24</xdr:row>
      <xdr:rowOff>58659</xdr:rowOff>
    </xdr:from>
    <xdr:to>
      <xdr:col>2</xdr:col>
      <xdr:colOff>133502</xdr:colOff>
      <xdr:row>26</xdr:row>
      <xdr:rowOff>166424</xdr:rowOff>
    </xdr:to>
    <xdr:pic>
      <xdr:nvPicPr>
        <xdr:cNvPr id="24" name="Graphic 23" descr="Rating Star with solid fill">
          <a:extLst>
            <a:ext uri="{FF2B5EF4-FFF2-40B4-BE49-F238E27FC236}">
              <a16:creationId xmlns:a16="http://schemas.microsoft.com/office/drawing/2014/main" id="{F1D640CF-BD41-4A18-A58D-97F705B0FB6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506208" y="5616777"/>
          <a:ext cx="456529" cy="570941"/>
        </a:xfrm>
        <a:prstGeom prst="rect">
          <a:avLst/>
        </a:prstGeom>
      </xdr:spPr>
    </xdr:pic>
    <xdr:clientData/>
  </xdr:twoCellAnchor>
  <xdr:twoCellAnchor editAs="oneCell">
    <xdr:from>
      <xdr:col>1</xdr:col>
      <xdr:colOff>85945</xdr:colOff>
      <xdr:row>31</xdr:row>
      <xdr:rowOff>193907</xdr:rowOff>
    </xdr:from>
    <xdr:to>
      <xdr:col>2</xdr:col>
      <xdr:colOff>46126</xdr:colOff>
      <xdr:row>33</xdr:row>
      <xdr:rowOff>123837</xdr:rowOff>
    </xdr:to>
    <xdr:pic>
      <xdr:nvPicPr>
        <xdr:cNvPr id="25" name="Graphic 24" descr="Star-struck face outline with solid fill">
          <a:extLst>
            <a:ext uri="{FF2B5EF4-FFF2-40B4-BE49-F238E27FC236}">
              <a16:creationId xmlns:a16="http://schemas.microsoft.com/office/drawing/2014/main" id="{424D83AE-05CE-42BB-AF03-2A751E065D9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74416" y="7373142"/>
          <a:ext cx="400945" cy="393107"/>
        </a:xfrm>
        <a:prstGeom prst="rect">
          <a:avLst/>
        </a:prstGeom>
      </xdr:spPr>
    </xdr:pic>
    <xdr:clientData/>
  </xdr:twoCellAnchor>
  <xdr:twoCellAnchor editAs="oneCell">
    <xdr:from>
      <xdr:col>5</xdr:col>
      <xdr:colOff>120841</xdr:colOff>
      <xdr:row>20</xdr:row>
      <xdr:rowOff>227423</xdr:rowOff>
    </xdr:from>
    <xdr:to>
      <xdr:col>8</xdr:col>
      <xdr:colOff>136827</xdr:colOff>
      <xdr:row>28</xdr:row>
      <xdr:rowOff>211733</xdr:rowOff>
    </xdr:to>
    <mc:AlternateContent xmlns:mc="http://schemas.openxmlformats.org/markup-compatibility/2006">
      <mc:Choice xmlns:a14="http://schemas.microsoft.com/office/drawing/2010/main" Requires="a14">
        <xdr:graphicFrame macro="">
          <xdr:nvGraphicFramePr>
            <xdr:cNvPr id="26" name="Representative">
              <a:extLst>
                <a:ext uri="{FF2B5EF4-FFF2-40B4-BE49-F238E27FC236}">
                  <a16:creationId xmlns:a16="http://schemas.microsoft.com/office/drawing/2014/main" id="{D0E8FBBE-8975-429D-A70B-1277F6E8422C}"/>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2585327" y="4758234"/>
              <a:ext cx="1848905" cy="1796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38101</xdr:colOff>
      <xdr:row>2</xdr:row>
      <xdr:rowOff>76201</xdr:rowOff>
    </xdr:from>
    <xdr:to>
      <xdr:col>10</xdr:col>
      <xdr:colOff>418088</xdr:colOff>
      <xdr:row>11</xdr:row>
      <xdr:rowOff>33717</xdr:rowOff>
    </xdr:to>
    <xdr:graphicFrame macro="">
      <xdr:nvGraphicFramePr>
        <xdr:cNvPr id="27" name="Chart 26">
          <a:extLst>
            <a:ext uri="{FF2B5EF4-FFF2-40B4-BE49-F238E27FC236}">
              <a16:creationId xmlns:a16="http://schemas.microsoft.com/office/drawing/2014/main" id="{B39CFB52-2289-496F-8EDE-A38C345F1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112058</xdr:colOff>
      <xdr:row>11</xdr:row>
      <xdr:rowOff>134471</xdr:rowOff>
    </xdr:from>
    <xdr:to>
      <xdr:col>9</xdr:col>
      <xdr:colOff>434258</xdr:colOff>
      <xdr:row>19</xdr:row>
      <xdr:rowOff>82178</xdr:rowOff>
    </xdr:to>
    <xdr:graphicFrame macro="">
      <xdr:nvGraphicFramePr>
        <xdr:cNvPr id="8" name="Chart 7">
          <a:extLst>
            <a:ext uri="{FF2B5EF4-FFF2-40B4-BE49-F238E27FC236}">
              <a16:creationId xmlns:a16="http://schemas.microsoft.com/office/drawing/2014/main" id="{7D3FC73F-A149-400C-B3F8-766E819FA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393290</xdr:colOff>
      <xdr:row>11</xdr:row>
      <xdr:rowOff>151580</xdr:rowOff>
    </xdr:from>
    <xdr:to>
      <xdr:col>13</xdr:col>
      <xdr:colOff>155677</xdr:colOff>
      <xdr:row>19</xdr:row>
      <xdr:rowOff>144110</xdr:rowOff>
    </xdr:to>
    <xdr:graphicFrame macro="">
      <xdr:nvGraphicFramePr>
        <xdr:cNvPr id="12" name="Chart 11">
          <a:extLst>
            <a:ext uri="{FF2B5EF4-FFF2-40B4-BE49-F238E27FC236}">
              <a16:creationId xmlns:a16="http://schemas.microsoft.com/office/drawing/2014/main" id="{2CD99908-CFC2-4CED-B9D0-CD0C6A619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597647</xdr:colOff>
      <xdr:row>2</xdr:row>
      <xdr:rowOff>82177</xdr:rowOff>
    </xdr:from>
    <xdr:to>
      <xdr:col>18</xdr:col>
      <xdr:colOff>597648</xdr:colOff>
      <xdr:row>10</xdr:row>
      <xdr:rowOff>231588</xdr:rowOff>
    </xdr:to>
    <xdr:graphicFrame macro="">
      <xdr:nvGraphicFramePr>
        <xdr:cNvPr id="40" name="Chart 39">
          <a:extLst>
            <a:ext uri="{FF2B5EF4-FFF2-40B4-BE49-F238E27FC236}">
              <a16:creationId xmlns:a16="http://schemas.microsoft.com/office/drawing/2014/main" id="{29600779-5366-4B24-B3E1-B18936A96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435032</xdr:colOff>
      <xdr:row>11</xdr:row>
      <xdr:rowOff>78125</xdr:rowOff>
    </xdr:from>
    <xdr:to>
      <xdr:col>18</xdr:col>
      <xdr:colOff>434258</xdr:colOff>
      <xdr:row>20</xdr:row>
      <xdr:rowOff>55713</xdr:rowOff>
    </xdr:to>
    <xdr:graphicFrame macro="">
      <xdr:nvGraphicFramePr>
        <xdr:cNvPr id="41" name="Chart 40">
          <a:extLst>
            <a:ext uri="{FF2B5EF4-FFF2-40B4-BE49-F238E27FC236}">
              <a16:creationId xmlns:a16="http://schemas.microsoft.com/office/drawing/2014/main" id="{B8EABADD-893E-4ECA-B4AF-F09160BF6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PCO" refreshedDate="46263.858858449072" backgroundQuery="1" createdVersion="8" refreshedVersion="8" minRefreshableVersion="3" recordCount="0" supportSubquery="1" supportAdvancedDrill="1" xr:uid="{A54738EE-4833-46FC-82A6-3F9658CE4A13}">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PCO" refreshedDate="46261.936025000003" backgroundQuery="1" createdVersion="8" refreshedVersion="8" minRefreshableVersion="3" recordCount="0" supportSubquery="1" supportAdvancedDrill="1" xr:uid="{2D520851-3D7B-45D4-9364-B183A176DE62}">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PCO" refreshedDate="46261.964251041667" backgroundQuery="1" createdVersion="8" refreshedVersion="8" minRefreshableVersion="3" recordCount="0" supportSubquery="1" supportAdvancedDrill="1" xr:uid="{FF7DAFBA-4251-470C-B30B-9DF7944FEC4F}">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PCO" refreshedDate="46263.878811111113" backgroundQuery="1" createdVersion="8" refreshedVersion="8" minRefreshableVersion="3" recordCount="0" supportSubquery="1" supportAdvancedDrill="1" xr:uid="{CB8E5A0F-6CA3-4D37-AE51-298FD83EAD87}">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PCO" refreshedDate="46263.920407060185" backgroundQuery="1" createdVersion="8" refreshedVersion="8" minRefreshableVersion="3" recordCount="0" supportSubquery="1" supportAdvancedDrill="1" xr:uid="{F9EE904E-2A43-4973-AC57-E1C86622E402}">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PCO" refreshedDate="46263.920407407408" backgroundQuery="1" createdVersion="8" refreshedVersion="8" minRefreshableVersion="3" recordCount="0" supportSubquery="1" supportAdvancedDrill="1" xr:uid="{EC3252A0-7535-4A0D-804C-5B52F6AAC3BE}">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PCO" refreshedDate="46263.920407986108" backgroundQuery="1" createdVersion="8" refreshedVersion="8" minRefreshableVersion="3" recordCount="0" supportSubquery="1" supportAdvancedDrill="1" xr:uid="{BCD89707-FC4A-441D-80D3-B52C6235A7C9}">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PCO" refreshedDate="46263.920408333332" backgroundQuery="1" createdVersion="8" refreshedVersion="8" minRefreshableVersion="3" recordCount="0" supportSubquery="1" supportAdvancedDrill="1" xr:uid="{1D8A9680-8679-4962-A281-C2BE8BA16C8F}">
  <cacheSource type="external" connectionId="1"/>
  <cacheFields count="1">
    <cacheField name="[calls].[Representative].[Representative]" caption="Representative" numFmtId="0" hierarchy="3" level="1">
      <sharedItems count="1">
        <s v="R03"/>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PCO" refreshedDate="46263.920408680555" backgroundQuery="1" createdVersion="8" refreshedVersion="8" minRefreshableVersion="3" recordCount="0" supportSubquery="1" supportAdvancedDrill="1" xr:uid="{A21F0582-59D1-4802-AA65-D98C253114D8}">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PCO" refreshedDate="46261.936025925927" backgroundQuery="1" createdVersion="3" refreshedVersion="8" minRefreshableVersion="3" recordCount="0" supportSubquery="1" supportAdvancedDrill="1" xr:uid="{EDFA9EFE-6949-4B69-B065-AF17D835B617}">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10458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94FA2C-2A6B-421C-8D0F-E2A66CA0C203}" name="rep amounts" cacheId="58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7">
  <location ref="A53:G72"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702F8D-A388-41A2-8D7F-054CDD08AC9C}" name="Rep satisfaction" cacheId="10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43:B5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1">
    <chartFormat chart="16"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AC9F4E-AF45-4B21-B672-004C98E014F0}" name="PivotTable3" cacheId="5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5:D40"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8">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0" format="6">
      <pivotArea type="data" outline="0" fieldPosition="0">
        <references count="3">
          <reference field="4294967294" count="1" selected="0">
            <x v="0"/>
          </reference>
          <reference field="0" count="1" selected="0">
            <x v="2"/>
          </reference>
          <reference field="1" count="1" selected="0">
            <x v="1"/>
          </reference>
        </references>
      </pivotArea>
    </chartFormat>
    <chartFormat chart="10" format="7">
      <pivotArea type="data" outline="0" fieldPosition="0">
        <references count="3">
          <reference field="4294967294" count="1" selected="0">
            <x v="0"/>
          </reference>
          <reference field="0" count="1" selected="0">
            <x v="1"/>
          </reference>
          <reference field="1" count="1" selected="0">
            <x v="1"/>
          </reference>
        </references>
      </pivotArea>
    </chartFormat>
    <chartFormat chart="10" format="8">
      <pivotArea type="data" outline="0" fieldPosition="0">
        <references count="3">
          <reference field="4294967294" count="1" selected="0">
            <x v="0"/>
          </reference>
          <reference field="0" count="1" selected="0">
            <x v="0"/>
          </reference>
          <reference field="1" count="1" selected="0">
            <x v="1"/>
          </reference>
        </references>
      </pivotArea>
    </chartFormat>
    <chartFormat chart="10" format="9">
      <pivotArea type="data" outline="0" fieldPosition="0">
        <references count="3">
          <reference field="4294967294" count="1" selected="0">
            <x v="0"/>
          </reference>
          <reference field="0" count="1" selected="0">
            <x v="0"/>
          </reference>
          <reference field="1" count="1" selected="0">
            <x v="0"/>
          </reference>
        </references>
      </pivotArea>
    </chartFormat>
    <chartFormat chart="10" format="10">
      <pivotArea type="data" outline="0" fieldPosition="0">
        <references count="3">
          <reference field="4294967294" count="1" selected="0">
            <x v="0"/>
          </reference>
          <reference field="0" count="1" selected="0">
            <x v="1"/>
          </reference>
          <reference field="1" count="1" selected="0">
            <x v="0"/>
          </reference>
        </references>
      </pivotArea>
    </chartFormat>
    <chartFormat chart="10" format="11">
      <pivotArea type="data" outline="0" fieldPosition="0">
        <references count="3">
          <reference field="4294967294" count="1" selected="0">
            <x v="0"/>
          </reference>
          <reference field="0" count="1" selected="0">
            <x v="2"/>
          </reference>
          <reference field="1"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92396C-138E-4FEE-8E79-53FC10CC6310}" name="selected rep " cacheId="99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H42:H43"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7">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664D6E-C6F8-42CD-83A7-56ADCC1A7AD5}" name="PivotTable5" cacheId="9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location ref="G18:H26"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37"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8DDE6F-6CE5-4003-A62C-7CCE8FA1CCFB}" name="MONTHLY TREND" cacheId="9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18:C31"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27" format="4" series="1">
      <pivotArea type="data" outline="0" fieldPosition="0">
        <references count="1">
          <reference field="4294967294" count="1" selected="0">
            <x v="1"/>
          </reference>
        </references>
      </pivotArea>
    </chartFormat>
    <chartFormat chart="27"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8D688A-C4BD-45B6-9406-1330A80710EF}" name="PivotTable2" cacheId="9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8E7E26-841B-472A-92FA-BEBC3EE8813A}" name="Summary Pivot" cacheId="5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DF3D4D-C239-4A07-B4D3-C6E866106AAE}" name="REPS PIVOT" cacheId="5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0:H3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 s="0">
    <v>2</v>
    <v>4</v>
    <v>Business woman raising hand</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CCCBFD3-E479-4EB3-909D-D15672D5A569}" sourceName="[calls].[Representative]">
  <pivotTables>
    <pivotTable tabId="6" name="PivotTable2"/>
    <pivotTable tabId="6" name="MONTHLY TREND"/>
    <pivotTable tabId="6" name="PivotTable5"/>
    <pivotTable tabId="6" name="selected rep "/>
    <pivotTable tabId="6" name="Rep satisfaction"/>
  </pivotTables>
  <data>
    <olap pivotCacheId="3104580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FA559A1-B983-4180-9A18-A953109AB76E}" cache="Slicer_Representative" caption="Representative" level="1"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9"/>
    <tableColumn id="5" xr3:uid="{5A35565E-8707-4DED-AD15-A0669D67B382}" name="Date of Call" dataDxfId="28"/>
    <tableColumn id="6" xr3:uid="{F2E4F158-B41F-47BC-8DF8-DFCADFEE4E40}" name="Purchase Amount"/>
    <tableColumn id="7" xr3:uid="{04B291B5-47BD-4F78-8FD8-D1551CCA6BD9}" name="Satisfaction Rating"/>
    <tableColumn id="8" xr3:uid="{6E4123C0-0B17-43B8-A142-A1E540CE974C}" name="FY" dataDxfId="27">
      <calculatedColumnFormula>IF(MONTH(calls[[#This Row],[Date of Call]])&lt;=6, YEAR(calls[[#This Row],[Date of Call]]), YEAR(calls[[#This Row],[Date of Call]])+1)</calculatedColumnFormula>
    </tableColumn>
    <tableColumn id="9" xr3:uid="{199FA271-5E9B-46CE-9BC6-2801F92CD17E}" name="Day of week" dataDxfId="26">
      <calculatedColumnFormula>TEXT(calls[[#This Row],[Date of Call]],"DDDD")</calculatedColumnFormula>
    </tableColumn>
    <tableColumn id="10" xr3:uid="{328CDB09-95B8-4D5E-9ED9-EF0D363735A1}" name="Duration Bucket" dataDxfId="2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4">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3" headerRowBorderDxfId="22" tableBorderDxfId="21" totalsRowBorderDxfId="20">
  <autoFilter ref="Q3:T18" xr:uid="{27158F51-A707-4171-8A04-81FB0AABCBA5}"/>
  <tableColumns count="4">
    <tableColumn id="1" xr3:uid="{02688061-6A8C-4E23-B7FF-D00CD8B58CAC}" name="Customer ID" dataDxfId="19"/>
    <tableColumn id="2" xr3:uid="{771678B6-DB44-426B-9874-B4E421A440D5}" name="Gedner" dataDxfId="18"/>
    <tableColumn id="3" xr3:uid="{B0D41C62-587E-494D-B49A-603F2C05F8D3}" name="Age" dataDxfId="17"/>
    <tableColumn id="4" xr3:uid="{663F92D6-FE31-4D81-9E01-8D066DDC8A88}" name="City" dataDxfId="16"/>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A3" zoomScale="115" zoomScaleNormal="115" workbookViewId="0">
      <selection activeCell="H13" sqref="H13"/>
    </sheetView>
  </sheetViews>
  <sheetFormatPr defaultRowHeight="18" x14ac:dyDescent="0.5"/>
  <cols>
    <col min="5" max="5" width="11" customWidth="1"/>
    <col min="6" max="6" width="10" customWidth="1"/>
  </cols>
  <sheetData>
    <row r="2" spans="5:6" x14ac:dyDescent="0.5">
      <c r="E2" t="s">
        <v>1040</v>
      </c>
      <c r="F2" t="s">
        <v>1041</v>
      </c>
    </row>
    <row r="3" spans="5:6" ht="25.5" customHeight="1" x14ac:dyDescent="0.5">
      <c r="E3" t="s">
        <v>11</v>
      </c>
      <c r="F3" t="e" vm="1">
        <v>#VALUE!</v>
      </c>
    </row>
    <row r="4" spans="5:6" ht="25.5" customHeight="1" x14ac:dyDescent="0.5">
      <c r="E4" t="s">
        <v>9</v>
      </c>
      <c r="F4" t="e" vm="2">
        <v>#VALUE!</v>
      </c>
    </row>
    <row r="5" spans="5:6" ht="25.5" customHeight="1" x14ac:dyDescent="0.5">
      <c r="E5" t="s">
        <v>6</v>
      </c>
      <c r="F5" t="e" vm="3">
        <v>#VALUE!</v>
      </c>
    </row>
    <row r="6" spans="5:6" ht="25.5" customHeight="1" x14ac:dyDescent="0.5">
      <c r="E6" t="s">
        <v>13</v>
      </c>
      <c r="F6" t="e" vm="4">
        <v>#VALUE!</v>
      </c>
    </row>
    <row r="7" spans="5:6" ht="25.5" customHeight="1" x14ac:dyDescent="0.5">
      <c r="E7" t="s">
        <v>10</v>
      </c>
      <c r="F7" t="e" vm="5">
        <v>#VALUE!</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1" zoomScale="115" zoomScaleNormal="115" workbookViewId="0">
      <selection activeCell="D15" sqref="D15"/>
    </sheetView>
  </sheetViews>
  <sheetFormatPr defaultRowHeight="18" x14ac:dyDescent="0.5"/>
  <cols>
    <col min="1" max="1" width="3.5546875" customWidth="1"/>
    <col min="2" max="2" width="14.6640625" customWidth="1"/>
    <col min="3" max="3" width="13" customWidth="1"/>
    <col min="4" max="4" width="16.6640625" customWidth="1"/>
    <col min="5" max="5" width="15.109375" customWidth="1"/>
    <col min="6" max="6" width="16.21875" customWidth="1"/>
    <col min="7" max="7" width="17.33203125" customWidth="1"/>
    <col min="8" max="8" width="18.44140625" customWidth="1"/>
    <col min="9" max="9" width="17.33203125" customWidth="1"/>
    <col min="10" max="12" width="15.5546875" customWidth="1"/>
    <col min="13" max="16" width="7.5546875" customWidth="1"/>
    <col min="17" max="17" width="14.6640625" customWidth="1"/>
    <col min="20" max="20" width="10.6640625" customWidth="1"/>
  </cols>
  <sheetData>
    <row r="1" spans="2:20" s="4" customFormat="1" ht="48" customHeight="1" x14ac:dyDescent="0.5">
      <c r="B1" s="5" t="s">
        <v>1003</v>
      </c>
    </row>
    <row r="2" spans="2:20" x14ac:dyDescent="0.5">
      <c r="R2" s="1"/>
    </row>
    <row r="3" spans="2:20" x14ac:dyDescent="0.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3E1E3-324B-4225-B587-14CB4D45A3A4}">
  <dimension ref="A1:AE79"/>
  <sheetViews>
    <sheetView tabSelected="1" zoomScale="111" zoomScaleNormal="117" workbookViewId="0">
      <selection activeCell="R23" sqref="R23"/>
    </sheetView>
  </sheetViews>
  <sheetFormatPr defaultRowHeight="18" x14ac:dyDescent="0.5"/>
  <cols>
    <col min="1" max="1" width="5.6640625" customWidth="1"/>
    <col min="2" max="2" width="6.44140625" customWidth="1"/>
    <col min="3" max="3" width="6" customWidth="1"/>
    <col min="5" max="5" width="8.88671875" customWidth="1"/>
    <col min="9" max="9" width="6.109375" customWidth="1"/>
    <col min="10" max="10" width="11.5546875" customWidth="1"/>
    <col min="16" max="16" width="14.6640625" customWidth="1"/>
  </cols>
  <sheetData>
    <row r="1" spans="1:31" x14ac:dyDescent="0.5">
      <c r="A1" s="20"/>
      <c r="B1" s="20"/>
      <c r="C1" s="20"/>
      <c r="D1" s="20"/>
      <c r="E1" s="20"/>
      <c r="F1" s="20"/>
      <c r="G1" s="20"/>
      <c r="H1" s="20"/>
      <c r="I1" s="20"/>
      <c r="J1" s="20"/>
      <c r="K1" s="20"/>
      <c r="L1" s="20"/>
      <c r="M1" s="20"/>
      <c r="N1" s="20"/>
      <c r="O1" s="20"/>
      <c r="P1" s="20"/>
      <c r="Q1" s="20"/>
      <c r="R1" s="20"/>
      <c r="S1" s="20"/>
      <c r="T1" s="20"/>
      <c r="U1" s="20"/>
      <c r="V1" s="20"/>
      <c r="W1" s="20"/>
      <c r="X1" s="20"/>
      <c r="Y1" s="45"/>
      <c r="Z1" s="45"/>
      <c r="AA1" s="45"/>
      <c r="AB1" s="45"/>
      <c r="AC1" s="45"/>
      <c r="AD1" s="45"/>
      <c r="AE1" s="45"/>
    </row>
    <row r="2" spans="1:31" x14ac:dyDescent="0.5">
      <c r="A2" s="20"/>
      <c r="B2" s="20"/>
      <c r="C2" s="20"/>
      <c r="D2" s="20"/>
      <c r="E2" s="20"/>
      <c r="F2" s="20"/>
      <c r="G2" s="20"/>
      <c r="H2" s="20"/>
      <c r="I2" s="20"/>
      <c r="J2" s="20"/>
      <c r="K2" s="20"/>
      <c r="L2" s="20"/>
      <c r="M2" s="20"/>
      <c r="N2" s="20"/>
      <c r="O2" s="20"/>
      <c r="P2" s="20"/>
      <c r="Q2" s="20"/>
      <c r="R2" s="20"/>
      <c r="S2" s="20"/>
      <c r="T2" s="20"/>
      <c r="U2" s="20"/>
      <c r="V2" s="20"/>
      <c r="W2" s="20"/>
      <c r="X2" s="20"/>
      <c r="Y2" s="45"/>
      <c r="Z2" s="45"/>
      <c r="AA2" s="45"/>
      <c r="AB2" s="45"/>
      <c r="AC2" s="45"/>
      <c r="AD2" s="45"/>
      <c r="AE2" s="45"/>
    </row>
    <row r="3" spans="1:31" x14ac:dyDescent="0.5">
      <c r="A3" s="20"/>
      <c r="B3" s="20"/>
      <c r="C3" s="20"/>
      <c r="D3" s="20"/>
      <c r="E3" s="20"/>
      <c r="F3" s="20"/>
      <c r="G3" s="20"/>
      <c r="H3" s="20"/>
      <c r="I3" s="20"/>
      <c r="J3" s="20"/>
      <c r="K3" s="20"/>
      <c r="L3" s="20"/>
      <c r="M3" s="20"/>
      <c r="N3" s="20"/>
      <c r="O3" s="20"/>
      <c r="P3" s="20"/>
      <c r="Q3" s="20"/>
      <c r="R3" s="20"/>
      <c r="S3" s="20"/>
      <c r="T3" s="20"/>
      <c r="U3" s="20"/>
      <c r="V3" s="20"/>
      <c r="W3" s="20"/>
      <c r="X3" s="20"/>
      <c r="Y3" s="45"/>
      <c r="Z3" s="45"/>
      <c r="AA3" s="45"/>
      <c r="AB3" s="45"/>
      <c r="AC3" s="45"/>
      <c r="AD3" s="45"/>
      <c r="AE3" s="45"/>
    </row>
    <row r="4" spans="1:31" x14ac:dyDescent="0.5">
      <c r="A4" s="20"/>
      <c r="B4" s="20"/>
      <c r="C4" s="20"/>
      <c r="D4" s="20"/>
      <c r="E4" s="20"/>
      <c r="F4" s="20"/>
      <c r="G4" s="20"/>
      <c r="H4" s="20"/>
      <c r="I4" s="20"/>
      <c r="J4" s="20"/>
      <c r="K4" s="20"/>
      <c r="L4" s="20"/>
      <c r="M4" s="20"/>
      <c r="N4" s="20"/>
      <c r="O4" s="20"/>
      <c r="P4" s="20"/>
      <c r="Q4" s="20"/>
      <c r="R4" s="20"/>
      <c r="S4" s="20"/>
      <c r="T4" s="20"/>
      <c r="U4" s="20"/>
      <c r="V4" s="20"/>
      <c r="W4" s="20"/>
      <c r="X4" s="20"/>
      <c r="Y4" s="45"/>
      <c r="Z4" s="45"/>
      <c r="AA4" s="45"/>
      <c r="AB4" s="45"/>
      <c r="AC4" s="45"/>
      <c r="AD4" s="45"/>
      <c r="AE4" s="45"/>
    </row>
    <row r="5" spans="1:31" x14ac:dyDescent="0.5">
      <c r="A5" s="20"/>
      <c r="B5" s="20"/>
      <c r="C5" s="20"/>
      <c r="D5" s="20"/>
      <c r="E5" s="20"/>
      <c r="F5" s="20"/>
      <c r="G5" s="20"/>
      <c r="H5" s="20"/>
      <c r="I5" s="20"/>
      <c r="J5" s="20"/>
      <c r="K5" s="20"/>
      <c r="L5" s="20"/>
      <c r="M5" s="20"/>
      <c r="N5" s="20"/>
      <c r="O5" s="20"/>
      <c r="P5" s="20"/>
      <c r="Q5" s="20"/>
      <c r="R5" s="20"/>
      <c r="S5" s="20"/>
      <c r="T5" s="20"/>
      <c r="U5" s="20"/>
      <c r="V5" s="20"/>
      <c r="W5" s="20"/>
      <c r="X5" s="20"/>
      <c r="Y5" s="45"/>
      <c r="Z5" s="45"/>
      <c r="AA5" s="45"/>
      <c r="AB5" s="45"/>
      <c r="AC5" s="45"/>
      <c r="AD5" s="45"/>
      <c r="AE5" s="45"/>
    </row>
    <row r="6" spans="1:31" x14ac:dyDescent="0.5">
      <c r="A6" s="20"/>
      <c r="B6" s="20"/>
      <c r="C6" s="20"/>
      <c r="D6" s="20"/>
      <c r="E6" s="20"/>
      <c r="F6" s="20"/>
      <c r="G6" s="20"/>
      <c r="H6" s="20"/>
      <c r="I6" s="20"/>
      <c r="J6" s="20"/>
      <c r="K6" s="20"/>
      <c r="L6" s="20"/>
      <c r="M6" s="20"/>
      <c r="N6" s="20"/>
      <c r="O6" s="20"/>
      <c r="P6" s="20"/>
      <c r="Q6" s="20"/>
      <c r="R6" s="20"/>
      <c r="S6" s="20"/>
      <c r="T6" s="20"/>
      <c r="U6" s="20"/>
      <c r="V6" s="20"/>
      <c r="W6" s="20"/>
      <c r="X6" s="20"/>
      <c r="Y6" s="45"/>
      <c r="Z6" s="45"/>
      <c r="AA6" s="45"/>
      <c r="AB6" s="45"/>
      <c r="AC6" s="45"/>
      <c r="AD6" s="45"/>
      <c r="AE6" s="45"/>
    </row>
    <row r="7" spans="1:31" x14ac:dyDescent="0.5">
      <c r="A7" s="20"/>
      <c r="B7" s="20"/>
      <c r="C7" s="20"/>
      <c r="D7" s="20"/>
      <c r="E7" s="20"/>
      <c r="F7" s="20"/>
      <c r="G7" s="20"/>
      <c r="H7" s="20"/>
      <c r="I7" s="20"/>
      <c r="J7" s="20"/>
      <c r="K7" s="20"/>
      <c r="L7" s="20"/>
      <c r="M7" s="20"/>
      <c r="N7" s="20"/>
      <c r="O7" s="20"/>
      <c r="P7" s="20"/>
      <c r="Q7" s="20"/>
      <c r="R7" s="20"/>
      <c r="S7" s="20"/>
      <c r="T7" s="20"/>
      <c r="U7" s="20"/>
      <c r="V7" s="20"/>
      <c r="W7" s="20"/>
      <c r="X7" s="20"/>
      <c r="Y7" s="45"/>
      <c r="Z7" s="45"/>
      <c r="AA7" s="45"/>
      <c r="AB7" s="45"/>
      <c r="AC7" s="45"/>
      <c r="AD7" s="45"/>
      <c r="AE7" s="45"/>
    </row>
    <row r="8" spans="1:31" x14ac:dyDescent="0.5">
      <c r="A8" s="20"/>
      <c r="B8" s="20"/>
      <c r="C8" s="20"/>
      <c r="D8" s="20"/>
      <c r="E8" s="20"/>
      <c r="F8" s="20"/>
      <c r="G8" s="20"/>
      <c r="H8" s="20"/>
      <c r="I8" s="20"/>
      <c r="J8" s="20"/>
      <c r="K8" s="20"/>
      <c r="L8" s="20"/>
      <c r="M8" s="20"/>
      <c r="N8" s="20"/>
      <c r="O8" s="20"/>
      <c r="P8" s="20"/>
      <c r="Q8" s="20"/>
      <c r="R8" s="20"/>
      <c r="S8" s="20"/>
      <c r="T8" s="20"/>
      <c r="U8" s="20"/>
      <c r="V8" s="20"/>
      <c r="W8" s="20"/>
      <c r="X8" s="20"/>
      <c r="Y8" s="45"/>
      <c r="Z8" s="45"/>
      <c r="AA8" s="45"/>
      <c r="AB8" s="45"/>
      <c r="AC8" s="45"/>
      <c r="AD8" s="45"/>
      <c r="AE8" s="45"/>
    </row>
    <row r="9" spans="1:31" x14ac:dyDescent="0.5">
      <c r="A9" s="20"/>
      <c r="B9" s="20"/>
      <c r="C9" s="20"/>
      <c r="D9" s="20"/>
      <c r="E9" s="20"/>
      <c r="F9" s="20"/>
      <c r="G9" s="20"/>
      <c r="H9" s="20"/>
      <c r="I9" s="20"/>
      <c r="J9" s="20"/>
      <c r="K9" s="20"/>
      <c r="L9" s="20"/>
      <c r="M9" s="20"/>
      <c r="N9" s="20"/>
      <c r="O9" s="20"/>
      <c r="P9" s="20"/>
      <c r="Q9" s="20"/>
      <c r="R9" s="20"/>
      <c r="S9" s="20"/>
      <c r="T9" s="20"/>
      <c r="U9" s="20"/>
      <c r="V9" s="20"/>
      <c r="W9" s="20"/>
      <c r="X9" s="20"/>
      <c r="Y9" s="45"/>
      <c r="Z9" s="45"/>
      <c r="AA9" s="45"/>
      <c r="AB9" s="45"/>
      <c r="AC9" s="45"/>
      <c r="AD9" s="45"/>
      <c r="AE9" s="45"/>
    </row>
    <row r="10" spans="1:31" x14ac:dyDescent="0.5">
      <c r="A10" s="20"/>
      <c r="B10" s="20"/>
      <c r="C10" s="20"/>
      <c r="D10" s="20"/>
      <c r="E10" s="20"/>
      <c r="F10" s="20"/>
      <c r="G10" s="20"/>
      <c r="H10" s="20"/>
      <c r="I10" s="20"/>
      <c r="J10" s="20"/>
      <c r="K10" s="20"/>
      <c r="L10" s="20"/>
      <c r="M10" s="20"/>
      <c r="N10" s="20"/>
      <c r="O10" s="20"/>
      <c r="P10" s="20"/>
      <c r="Q10" s="20"/>
      <c r="R10" s="20"/>
      <c r="S10" s="20"/>
      <c r="T10" s="20"/>
      <c r="U10" s="20"/>
      <c r="V10" s="20"/>
      <c r="W10" s="20"/>
      <c r="X10" s="20"/>
      <c r="Y10" s="45"/>
      <c r="Z10" s="45"/>
      <c r="AA10" s="45"/>
      <c r="AB10" s="45"/>
      <c r="AC10" s="45"/>
      <c r="AD10" s="45"/>
      <c r="AE10" s="45"/>
    </row>
    <row r="11" spans="1:31" x14ac:dyDescent="0.5">
      <c r="A11" s="20"/>
      <c r="B11" s="20"/>
      <c r="C11" s="20"/>
      <c r="D11" s="20"/>
      <c r="E11" s="20"/>
      <c r="F11" s="20"/>
      <c r="G11" s="20"/>
      <c r="H11" s="20"/>
      <c r="I11" s="20"/>
      <c r="J11" s="20"/>
      <c r="K11" s="20"/>
      <c r="L11" s="20"/>
      <c r="M11" s="20"/>
      <c r="N11" s="20"/>
      <c r="O11" s="20"/>
      <c r="P11" s="20"/>
      <c r="Q11" s="20"/>
      <c r="R11" s="20"/>
      <c r="S11" s="20"/>
      <c r="T11" s="20"/>
      <c r="U11" s="20"/>
      <c r="V11" s="20"/>
      <c r="W11" s="20"/>
      <c r="X11" s="20"/>
      <c r="Y11" s="45"/>
      <c r="Z11" s="45"/>
      <c r="AA11" s="45"/>
      <c r="AB11" s="45"/>
      <c r="AC11" s="45"/>
      <c r="AD11" s="45"/>
      <c r="AE11" s="45"/>
    </row>
    <row r="12" spans="1:31" x14ac:dyDescent="0.5">
      <c r="A12" s="20"/>
      <c r="B12" s="20"/>
      <c r="C12" s="20"/>
      <c r="D12" s="20"/>
      <c r="E12" s="20"/>
      <c r="F12" s="20"/>
      <c r="G12" s="20"/>
      <c r="H12" s="20"/>
      <c r="I12" s="20"/>
      <c r="J12" s="20"/>
      <c r="K12" s="20"/>
      <c r="L12" s="20"/>
      <c r="M12" s="20"/>
      <c r="N12" s="20"/>
      <c r="O12" s="20"/>
      <c r="P12" s="20"/>
      <c r="Q12" s="20"/>
      <c r="R12" s="20"/>
      <c r="S12" s="20"/>
      <c r="T12" s="20"/>
      <c r="U12" s="20"/>
      <c r="V12" s="20"/>
      <c r="W12" s="20"/>
      <c r="X12" s="20"/>
      <c r="Y12" s="45"/>
      <c r="Z12" s="45"/>
      <c r="AA12" s="45"/>
      <c r="AB12" s="45"/>
      <c r="AC12" s="45"/>
      <c r="AD12" s="45"/>
      <c r="AE12" s="45"/>
    </row>
    <row r="13" spans="1:31" x14ac:dyDescent="0.5">
      <c r="A13" s="20"/>
      <c r="B13" s="20"/>
      <c r="C13" s="20"/>
      <c r="D13" s="20"/>
      <c r="E13" s="20"/>
      <c r="F13" s="20"/>
      <c r="G13" s="20"/>
      <c r="H13" s="20"/>
      <c r="I13" s="20"/>
      <c r="J13" s="20"/>
      <c r="K13" s="20"/>
      <c r="L13" s="20"/>
      <c r="M13" s="20"/>
      <c r="N13" s="20"/>
      <c r="O13" s="20"/>
      <c r="P13" s="20"/>
      <c r="Q13" s="20"/>
      <c r="R13" s="20"/>
      <c r="S13" s="20"/>
      <c r="T13" s="20"/>
      <c r="U13" s="20"/>
      <c r="V13" s="20"/>
      <c r="W13" s="20"/>
      <c r="X13" s="20"/>
      <c r="Y13" s="45"/>
      <c r="Z13" s="45"/>
      <c r="AA13" s="45"/>
      <c r="AB13" s="45"/>
      <c r="AC13" s="45"/>
      <c r="AD13" s="45"/>
      <c r="AE13" s="45"/>
    </row>
    <row r="14" spans="1:31" x14ac:dyDescent="0.5">
      <c r="A14" s="20"/>
      <c r="B14" s="20"/>
      <c r="C14" s="20"/>
      <c r="D14" s="20"/>
      <c r="E14" s="20"/>
      <c r="F14" s="20"/>
      <c r="G14" s="20"/>
      <c r="H14" s="20"/>
      <c r="I14" s="20"/>
      <c r="J14" s="20"/>
      <c r="K14" s="20"/>
      <c r="L14" s="20"/>
      <c r="M14" s="20"/>
      <c r="N14" s="20"/>
      <c r="O14" s="20"/>
      <c r="P14" s="20"/>
      <c r="Q14" s="20"/>
      <c r="R14" s="20"/>
      <c r="S14" s="20"/>
      <c r="T14" s="20"/>
      <c r="U14" s="20"/>
      <c r="V14" s="20"/>
      <c r="W14" s="20"/>
      <c r="X14" s="20"/>
      <c r="Y14" s="45"/>
      <c r="Z14" s="45"/>
      <c r="AA14" s="45"/>
      <c r="AB14" s="45"/>
      <c r="AC14" s="45"/>
      <c r="AD14" s="45"/>
      <c r="AE14" s="45"/>
    </row>
    <row r="15" spans="1:31" x14ac:dyDescent="0.5">
      <c r="A15" s="20"/>
      <c r="B15" s="20"/>
      <c r="C15" s="20"/>
      <c r="D15" s="20"/>
      <c r="E15" s="20"/>
      <c r="F15" s="20"/>
      <c r="G15" s="20"/>
      <c r="H15" s="20"/>
      <c r="I15" s="20"/>
      <c r="J15" s="20"/>
      <c r="K15" s="20"/>
      <c r="L15" s="20"/>
      <c r="M15" s="20"/>
      <c r="N15" s="20"/>
      <c r="O15" s="20"/>
      <c r="P15" s="20"/>
      <c r="Q15" s="20"/>
      <c r="R15" s="20"/>
      <c r="S15" s="20"/>
      <c r="T15" s="20"/>
      <c r="U15" s="20"/>
      <c r="V15" s="20"/>
      <c r="W15" s="20"/>
      <c r="X15" s="20"/>
      <c r="Y15" s="45"/>
      <c r="Z15" s="45"/>
      <c r="AA15" s="45"/>
      <c r="AB15" s="45"/>
      <c r="AC15" s="45"/>
      <c r="AD15" s="45"/>
      <c r="AE15" s="45"/>
    </row>
    <row r="16" spans="1:31" x14ac:dyDescent="0.5">
      <c r="A16" s="20"/>
      <c r="B16" s="20"/>
      <c r="C16" s="20"/>
      <c r="D16" s="20"/>
      <c r="E16" s="20"/>
      <c r="F16" s="20"/>
      <c r="G16" s="20"/>
      <c r="H16" s="20"/>
      <c r="I16" s="20"/>
      <c r="J16" s="20"/>
      <c r="K16" s="20"/>
      <c r="L16" s="20"/>
      <c r="M16" s="20"/>
      <c r="N16" s="20"/>
      <c r="O16" s="20"/>
      <c r="P16" s="20"/>
      <c r="Q16" s="20"/>
      <c r="R16" s="20"/>
      <c r="S16" s="20"/>
      <c r="T16" s="20"/>
      <c r="U16" s="20"/>
      <c r="V16" s="20"/>
      <c r="W16" s="20"/>
      <c r="X16" s="20"/>
      <c r="Y16" s="45"/>
      <c r="Z16" s="45"/>
      <c r="AA16" s="45"/>
      <c r="AB16" s="45"/>
      <c r="AC16" s="45"/>
      <c r="AD16" s="45"/>
      <c r="AE16" s="45"/>
    </row>
    <row r="17" spans="1:31" x14ac:dyDescent="0.5">
      <c r="A17" s="20"/>
      <c r="B17" s="20"/>
      <c r="C17" s="20"/>
      <c r="D17" s="20"/>
      <c r="E17" s="20"/>
      <c r="F17" s="20"/>
      <c r="G17" s="20"/>
      <c r="H17" s="20"/>
      <c r="I17" s="20"/>
      <c r="J17" s="20"/>
      <c r="K17" s="20"/>
      <c r="L17" s="20"/>
      <c r="M17" s="20"/>
      <c r="N17" s="20"/>
      <c r="O17" s="20"/>
      <c r="P17" s="20"/>
      <c r="Q17" s="20"/>
      <c r="R17" s="20"/>
      <c r="S17" s="20"/>
      <c r="T17" s="20"/>
      <c r="U17" s="20"/>
      <c r="V17" s="20"/>
      <c r="W17" s="20"/>
      <c r="X17" s="20"/>
      <c r="Y17" s="45"/>
      <c r="Z17" s="45"/>
      <c r="AA17" s="45"/>
      <c r="AB17" s="45"/>
      <c r="AC17" s="45"/>
      <c r="AD17" s="45"/>
      <c r="AE17" s="45"/>
    </row>
    <row r="18" spans="1:31" x14ac:dyDescent="0.5">
      <c r="A18" s="20"/>
      <c r="B18" s="20"/>
      <c r="C18" s="20"/>
      <c r="D18" s="20"/>
      <c r="E18" s="20"/>
      <c r="F18" s="20"/>
      <c r="G18" s="20"/>
      <c r="H18" s="20"/>
      <c r="I18" s="20"/>
      <c r="J18" s="20"/>
      <c r="K18" s="20"/>
      <c r="L18" s="20"/>
      <c r="M18" s="20"/>
      <c r="N18" s="20"/>
      <c r="O18" s="20"/>
      <c r="P18" s="20"/>
      <c r="Q18" s="20"/>
      <c r="R18" s="20"/>
      <c r="S18" s="20"/>
      <c r="T18" s="20"/>
      <c r="U18" s="20"/>
      <c r="V18" s="20"/>
      <c r="W18" s="20"/>
      <c r="X18" s="20"/>
      <c r="Y18" s="45"/>
      <c r="Z18" s="45"/>
      <c r="AA18" s="45"/>
      <c r="AB18" s="45"/>
      <c r="AC18" s="45"/>
      <c r="AD18" s="45"/>
      <c r="AE18" s="45"/>
    </row>
    <row r="19" spans="1:31" x14ac:dyDescent="0.5">
      <c r="A19" s="20"/>
      <c r="B19" s="20"/>
      <c r="C19" s="20"/>
      <c r="D19" s="20"/>
      <c r="E19" s="20"/>
      <c r="F19" s="20"/>
      <c r="G19" s="20"/>
      <c r="H19" s="20"/>
      <c r="I19" s="20"/>
      <c r="J19" s="20"/>
      <c r="K19" s="20"/>
      <c r="L19" s="20"/>
      <c r="M19" s="20"/>
      <c r="N19" s="20"/>
      <c r="O19" s="20"/>
      <c r="P19" s="20"/>
      <c r="Q19" s="20"/>
      <c r="R19" s="20"/>
      <c r="S19" s="20"/>
      <c r="T19" s="20"/>
      <c r="U19" s="20"/>
      <c r="V19" s="20"/>
      <c r="W19" s="20"/>
      <c r="X19" s="20"/>
      <c r="Y19" s="45"/>
      <c r="Z19" s="45"/>
      <c r="AA19" s="45"/>
      <c r="AB19" s="45"/>
      <c r="AC19" s="45"/>
      <c r="AD19" s="45"/>
      <c r="AE19" s="45"/>
    </row>
    <row r="20" spans="1:31" x14ac:dyDescent="0.5">
      <c r="A20" s="20"/>
      <c r="B20" s="20"/>
      <c r="C20" s="20"/>
      <c r="D20" s="20"/>
      <c r="E20" s="20"/>
      <c r="F20" s="20"/>
      <c r="G20" s="20"/>
      <c r="H20" s="20"/>
      <c r="I20" s="20"/>
      <c r="J20" s="20"/>
      <c r="K20" s="20"/>
      <c r="L20" s="20"/>
      <c r="M20" s="20"/>
      <c r="N20" s="20"/>
      <c r="O20" s="20"/>
      <c r="P20" s="20"/>
      <c r="Q20" s="20"/>
      <c r="R20" s="20"/>
      <c r="S20" s="20"/>
      <c r="T20" s="20"/>
      <c r="U20" s="20"/>
      <c r="V20" s="20"/>
      <c r="W20" s="20"/>
      <c r="X20" s="20"/>
      <c r="Y20" s="45"/>
      <c r="Z20" s="45"/>
      <c r="AA20" s="45"/>
      <c r="AB20" s="45"/>
      <c r="AC20" s="45"/>
      <c r="AD20" s="45"/>
      <c r="AE20" s="45"/>
    </row>
    <row r="21" spans="1:31" x14ac:dyDescent="0.5">
      <c r="A21" s="20"/>
      <c r="B21" s="20"/>
      <c r="C21" s="20"/>
      <c r="D21" s="20"/>
      <c r="E21" s="20"/>
      <c r="F21" s="20"/>
      <c r="G21" s="20"/>
      <c r="H21" s="20"/>
      <c r="I21" s="20"/>
      <c r="J21" s="20"/>
      <c r="K21" s="20"/>
      <c r="L21" s="20"/>
      <c r="M21" s="20"/>
      <c r="N21" s="20"/>
      <c r="O21" s="20"/>
      <c r="P21" s="20"/>
      <c r="Q21" s="20"/>
      <c r="R21" s="20"/>
      <c r="S21" s="20"/>
      <c r="T21" s="20"/>
      <c r="U21" s="20"/>
      <c r="V21" s="20"/>
      <c r="W21" s="20"/>
      <c r="X21" s="20"/>
      <c r="Y21" s="45"/>
      <c r="Z21" s="45"/>
      <c r="AA21" s="45"/>
      <c r="AB21" s="45"/>
      <c r="AC21" s="45"/>
      <c r="AD21" s="45"/>
      <c r="AE21" s="45"/>
    </row>
    <row r="22" spans="1:31" x14ac:dyDescent="0.5">
      <c r="A22" s="20"/>
      <c r="B22" s="20"/>
      <c r="C22" s="20"/>
      <c r="D22" s="20"/>
      <c r="E22" s="20"/>
      <c r="F22" s="20"/>
      <c r="G22" s="20"/>
      <c r="H22" s="20"/>
      <c r="I22" s="20"/>
      <c r="J22" s="31"/>
      <c r="K22" s="38" t="str" cm="1">
        <f t="array" ref="K22:P22">Sheet2!B54:G54</f>
        <v>R01</v>
      </c>
      <c r="L22" s="38" t="str">
        <v>R02</v>
      </c>
      <c r="M22" s="38" t="str">
        <v>R03</v>
      </c>
      <c r="N22" s="38" t="str">
        <v>R04</v>
      </c>
      <c r="O22" s="38" t="str">
        <v>R05</v>
      </c>
      <c r="P22" s="39" t="str">
        <v>Grand Total</v>
      </c>
      <c r="Q22" s="20"/>
      <c r="R22" s="20"/>
      <c r="S22" s="20"/>
      <c r="T22" s="20"/>
      <c r="U22" s="20"/>
      <c r="V22" s="20"/>
      <c r="W22" s="20"/>
      <c r="X22" s="20"/>
      <c r="Y22" s="45"/>
      <c r="Z22" s="45"/>
      <c r="AA22" s="45"/>
      <c r="AB22" s="45"/>
      <c r="AC22" s="45"/>
      <c r="AD22" s="45"/>
      <c r="AE22" s="45"/>
    </row>
    <row r="23" spans="1:31" x14ac:dyDescent="0.5">
      <c r="A23" s="20"/>
      <c r="B23" s="20"/>
      <c r="C23" s="20"/>
      <c r="D23" s="20"/>
      <c r="E23" s="20"/>
      <c r="F23" s="20"/>
      <c r="G23" s="20"/>
      <c r="H23" s="20"/>
      <c r="I23" s="20"/>
      <c r="J23" s="40" t="str" cm="1">
        <f t="array" ref="J23:P40">IF(Sheet2!A55:G72="","",Sheet2!A55:G72)</f>
        <v>Cincinnati</v>
      </c>
      <c r="K23" s="32" t="str">
        <v/>
      </c>
      <c r="L23" s="32" t="str">
        <v/>
      </c>
      <c r="M23" s="32" t="str">
        <v/>
      </c>
      <c r="N23" s="32" t="str">
        <v/>
      </c>
      <c r="O23" s="32" t="str">
        <v/>
      </c>
      <c r="P23" s="33" t="str">
        <v/>
      </c>
      <c r="Q23" s="20"/>
      <c r="R23" s="20"/>
      <c r="S23" s="20"/>
      <c r="T23" s="20"/>
      <c r="U23" s="20"/>
      <c r="V23" s="20"/>
      <c r="W23" s="20"/>
      <c r="X23" s="20"/>
      <c r="Y23" s="45"/>
      <c r="Z23" s="45"/>
      <c r="AA23" s="45"/>
      <c r="AB23" s="45"/>
      <c r="AC23" s="45"/>
      <c r="AD23" s="45"/>
      <c r="AE23" s="45"/>
    </row>
    <row r="24" spans="1:31" x14ac:dyDescent="0.5">
      <c r="A24" s="20"/>
      <c r="B24" s="20"/>
      <c r="C24" s="20"/>
      <c r="D24" s="20"/>
      <c r="E24" s="20"/>
      <c r="F24" s="20"/>
      <c r="G24" s="20"/>
      <c r="H24" s="20"/>
      <c r="I24" s="20"/>
      <c r="J24" s="34" t="str">
        <v>C0003</v>
      </c>
      <c r="K24" s="35">
        <v>891</v>
      </c>
      <c r="L24" s="35">
        <v>1332</v>
      </c>
      <c r="M24" s="35">
        <v>1282</v>
      </c>
      <c r="N24" s="35">
        <v>739</v>
      </c>
      <c r="O24" s="35">
        <v>560</v>
      </c>
      <c r="P24" s="43">
        <v>4804</v>
      </c>
      <c r="Q24" s="20"/>
      <c r="R24" s="20"/>
      <c r="S24" s="20"/>
      <c r="T24" s="20"/>
      <c r="U24" s="20"/>
      <c r="V24" s="20"/>
      <c r="W24" s="20"/>
      <c r="X24" s="20"/>
      <c r="Y24" s="45"/>
      <c r="Z24" s="45"/>
      <c r="AA24" s="45"/>
      <c r="AB24" s="45"/>
      <c r="AC24" s="45"/>
      <c r="AD24" s="45"/>
      <c r="AE24" s="45"/>
    </row>
    <row r="25" spans="1:31" x14ac:dyDescent="0.5">
      <c r="A25" s="20"/>
      <c r="B25" s="20"/>
      <c r="C25" s="20"/>
      <c r="D25" s="20"/>
      <c r="E25" s="20"/>
      <c r="F25" s="20"/>
      <c r="G25" s="20"/>
      <c r="H25" s="20"/>
      <c r="I25" s="20"/>
      <c r="J25" s="34" t="str">
        <v>C0004</v>
      </c>
      <c r="K25" s="35">
        <v>1991</v>
      </c>
      <c r="L25" s="35">
        <v>1886</v>
      </c>
      <c r="M25" s="35">
        <v>1206</v>
      </c>
      <c r="N25" s="35">
        <v>884</v>
      </c>
      <c r="O25" s="35">
        <v>1722</v>
      </c>
      <c r="P25" s="43">
        <v>7689</v>
      </c>
      <c r="Q25" s="20"/>
      <c r="R25" s="20"/>
      <c r="S25" s="20"/>
      <c r="T25" s="20"/>
      <c r="U25" s="20"/>
      <c r="V25" s="20"/>
      <c r="W25" s="20"/>
      <c r="X25" s="20"/>
      <c r="Y25" s="45"/>
      <c r="Z25" s="45"/>
      <c r="AA25" s="45"/>
      <c r="AB25" s="45"/>
      <c r="AC25" s="45"/>
      <c r="AD25" s="45"/>
      <c r="AE25" s="45"/>
    </row>
    <row r="26" spans="1:31" x14ac:dyDescent="0.5">
      <c r="A26" s="20"/>
      <c r="B26" s="20"/>
      <c r="C26" s="20"/>
      <c r="D26" s="20"/>
      <c r="E26" s="20"/>
      <c r="F26" s="20"/>
      <c r="G26" s="20"/>
      <c r="H26" s="20"/>
      <c r="I26" s="20"/>
      <c r="J26" s="34" t="str">
        <v>C0011</v>
      </c>
      <c r="K26" s="35">
        <v>1163</v>
      </c>
      <c r="L26" s="35">
        <v>1180</v>
      </c>
      <c r="M26" s="35">
        <v>1616</v>
      </c>
      <c r="N26" s="35">
        <v>1043</v>
      </c>
      <c r="O26" s="35">
        <v>1747</v>
      </c>
      <c r="P26" s="43">
        <v>6749</v>
      </c>
      <c r="Q26" s="20"/>
      <c r="R26" s="20"/>
      <c r="S26" s="20"/>
      <c r="T26" s="20"/>
      <c r="U26" s="20"/>
      <c r="V26" s="20"/>
      <c r="W26" s="20"/>
      <c r="X26" s="20"/>
      <c r="Y26" s="45"/>
      <c r="Z26" s="45"/>
      <c r="AA26" s="45"/>
      <c r="AB26" s="45"/>
      <c r="AC26" s="45"/>
      <c r="AD26" s="45"/>
      <c r="AE26" s="45"/>
    </row>
    <row r="27" spans="1:31" x14ac:dyDescent="0.5">
      <c r="A27" s="20"/>
      <c r="B27" s="20"/>
      <c r="C27" s="20"/>
      <c r="D27" s="20"/>
      <c r="E27" s="20"/>
      <c r="F27" s="20"/>
      <c r="G27" s="20"/>
      <c r="H27" s="20"/>
      <c r="I27" s="20"/>
      <c r="J27" s="34" t="str">
        <v>C0012</v>
      </c>
      <c r="K27" s="35">
        <v>1438</v>
      </c>
      <c r="L27" s="35">
        <v>1616</v>
      </c>
      <c r="M27" s="35">
        <v>866</v>
      </c>
      <c r="N27" s="35">
        <v>829</v>
      </c>
      <c r="O27" s="35">
        <v>2070</v>
      </c>
      <c r="P27" s="43">
        <v>6819</v>
      </c>
      <c r="Q27" s="20"/>
      <c r="R27" s="20"/>
      <c r="S27" s="20"/>
      <c r="T27" s="20"/>
      <c r="U27" s="20"/>
      <c r="V27" s="20"/>
      <c r="W27" s="20"/>
      <c r="X27" s="20"/>
      <c r="Y27" s="45"/>
      <c r="Z27" s="45"/>
      <c r="AA27" s="45"/>
      <c r="AB27" s="45"/>
      <c r="AC27" s="45"/>
      <c r="AD27" s="45"/>
      <c r="AE27" s="45"/>
    </row>
    <row r="28" spans="1:31" x14ac:dyDescent="0.5">
      <c r="A28" s="20"/>
      <c r="B28" s="20"/>
      <c r="C28" s="20"/>
      <c r="D28" s="20"/>
      <c r="E28" s="20"/>
      <c r="F28" s="20"/>
      <c r="G28" s="20"/>
      <c r="H28" s="20"/>
      <c r="I28" s="20"/>
      <c r="J28" s="40" t="str">
        <v>Cleveland</v>
      </c>
      <c r="K28" s="35" t="str">
        <v/>
      </c>
      <c r="L28" s="35" t="str">
        <v/>
      </c>
      <c r="M28" s="35" t="str">
        <v/>
      </c>
      <c r="N28" s="35" t="str">
        <v/>
      </c>
      <c r="O28" s="35" t="str">
        <v/>
      </c>
      <c r="P28" s="43" t="str">
        <v/>
      </c>
      <c r="Q28" s="20"/>
      <c r="R28" s="20"/>
      <c r="S28" s="20"/>
      <c r="T28" s="20"/>
      <c r="U28" s="20"/>
      <c r="V28" s="20"/>
      <c r="W28" s="20"/>
      <c r="X28" s="20"/>
      <c r="Y28" s="45"/>
      <c r="Z28" s="45"/>
      <c r="AA28" s="45"/>
      <c r="AB28" s="45"/>
      <c r="AC28" s="45"/>
      <c r="AD28" s="45"/>
      <c r="AE28" s="45"/>
    </row>
    <row r="29" spans="1:31" x14ac:dyDescent="0.5">
      <c r="A29" s="20"/>
      <c r="B29" s="20"/>
      <c r="C29" s="20"/>
      <c r="D29" s="20"/>
      <c r="E29" s="20"/>
      <c r="F29" s="20"/>
      <c r="G29" s="20"/>
      <c r="H29" s="20"/>
      <c r="I29" s="20"/>
      <c r="J29" s="34" t="str">
        <v>C0002</v>
      </c>
      <c r="K29" s="35">
        <v>1233</v>
      </c>
      <c r="L29" s="35">
        <v>223</v>
      </c>
      <c r="M29" s="35">
        <v>1680</v>
      </c>
      <c r="N29" s="35">
        <v>990</v>
      </c>
      <c r="O29" s="35">
        <v>1508</v>
      </c>
      <c r="P29" s="43">
        <v>5634</v>
      </c>
      <c r="Q29" s="20"/>
      <c r="R29" s="20"/>
      <c r="S29" s="20"/>
      <c r="T29" s="20"/>
      <c r="U29" s="20"/>
      <c r="V29" s="20"/>
      <c r="W29" s="20"/>
      <c r="X29" s="20"/>
      <c r="Y29" s="45"/>
      <c r="Z29" s="45"/>
      <c r="AA29" s="45"/>
      <c r="AB29" s="45"/>
      <c r="AC29" s="45"/>
      <c r="AD29" s="45"/>
      <c r="AE29" s="45"/>
    </row>
    <row r="30" spans="1:31" x14ac:dyDescent="0.5">
      <c r="A30" s="20"/>
      <c r="B30" s="20"/>
      <c r="C30" s="20"/>
      <c r="D30" s="20"/>
      <c r="E30" s="20"/>
      <c r="F30" s="20"/>
      <c r="G30" s="20"/>
      <c r="H30" s="20"/>
      <c r="I30" s="20"/>
      <c r="J30" s="34" t="str">
        <v>C0007</v>
      </c>
      <c r="K30" s="35">
        <v>1598</v>
      </c>
      <c r="L30" s="35">
        <v>1907</v>
      </c>
      <c r="M30" s="35">
        <v>869</v>
      </c>
      <c r="N30" s="35">
        <v>1426</v>
      </c>
      <c r="O30" s="35">
        <v>1416</v>
      </c>
      <c r="P30" s="43">
        <v>7216</v>
      </c>
      <c r="Q30" s="20"/>
      <c r="R30" s="20"/>
      <c r="S30" s="20"/>
      <c r="T30" s="20"/>
      <c r="U30" s="20"/>
      <c r="V30" s="20"/>
      <c r="W30" s="20"/>
      <c r="X30" s="20"/>
      <c r="Y30" s="45"/>
      <c r="Z30" s="45"/>
      <c r="AA30" s="45"/>
      <c r="AB30" s="45"/>
      <c r="AC30" s="45"/>
      <c r="AD30" s="45"/>
      <c r="AE30" s="45"/>
    </row>
    <row r="31" spans="1:31" x14ac:dyDescent="0.5">
      <c r="A31" s="20"/>
      <c r="B31" s="20"/>
      <c r="C31" s="20"/>
      <c r="D31" s="20"/>
      <c r="E31" s="20"/>
      <c r="F31" s="42" t="e" vm="6">
        <f>Sheet2!L49</f>
        <v>#VALUE!</v>
      </c>
      <c r="G31" s="42"/>
      <c r="H31" s="42"/>
      <c r="I31" s="20"/>
      <c r="J31" s="34" t="str">
        <v>C0008</v>
      </c>
      <c r="K31" s="35">
        <v>900</v>
      </c>
      <c r="L31" s="35">
        <v>1016</v>
      </c>
      <c r="M31" s="35">
        <v>960</v>
      </c>
      <c r="N31" s="35">
        <v>940</v>
      </c>
      <c r="O31" s="35">
        <v>1193</v>
      </c>
      <c r="P31" s="43">
        <v>5009</v>
      </c>
      <c r="Q31" s="20"/>
      <c r="R31" s="20"/>
      <c r="S31" s="20"/>
      <c r="T31" s="20"/>
      <c r="U31" s="20"/>
      <c r="V31" s="20"/>
      <c r="W31" s="20"/>
      <c r="X31" s="20"/>
      <c r="Y31" s="45"/>
      <c r="Z31" s="45"/>
      <c r="AA31" s="45"/>
      <c r="AB31" s="45"/>
      <c r="AC31" s="45"/>
      <c r="AD31" s="45"/>
      <c r="AE31" s="45"/>
    </row>
    <row r="32" spans="1:31" x14ac:dyDescent="0.5">
      <c r="A32" s="20"/>
      <c r="B32" s="20"/>
      <c r="C32" s="20"/>
      <c r="D32" s="20"/>
      <c r="E32" s="20"/>
      <c r="F32" s="42"/>
      <c r="G32" s="42"/>
      <c r="H32" s="42"/>
      <c r="I32" s="20"/>
      <c r="J32" s="34" t="str">
        <v>C0010</v>
      </c>
      <c r="K32" s="35">
        <v>900</v>
      </c>
      <c r="L32" s="35">
        <v>1470</v>
      </c>
      <c r="M32" s="35">
        <v>1617</v>
      </c>
      <c r="N32" s="35">
        <v>1314</v>
      </c>
      <c r="O32" s="35">
        <v>941</v>
      </c>
      <c r="P32" s="43">
        <v>6242</v>
      </c>
      <c r="Q32" s="20"/>
      <c r="R32" s="20"/>
      <c r="S32" s="20"/>
      <c r="T32" s="20"/>
      <c r="U32" s="20"/>
      <c r="V32" s="20"/>
      <c r="W32" s="20"/>
      <c r="X32" s="20"/>
      <c r="Y32" s="45"/>
      <c r="Z32" s="45"/>
      <c r="AA32" s="45"/>
      <c r="AB32" s="45"/>
      <c r="AC32" s="45"/>
      <c r="AD32" s="45"/>
      <c r="AE32" s="45"/>
    </row>
    <row r="33" spans="1:31" x14ac:dyDescent="0.5">
      <c r="A33" s="20"/>
      <c r="B33" s="20"/>
      <c r="C33" s="20"/>
      <c r="D33" s="20"/>
      <c r="E33" s="20"/>
      <c r="F33" s="42"/>
      <c r="G33" s="42"/>
      <c r="H33" s="42"/>
      <c r="I33" s="20"/>
      <c r="J33" s="34" t="str">
        <v>C0013</v>
      </c>
      <c r="K33" s="35">
        <v>1255</v>
      </c>
      <c r="L33" s="35">
        <v>516</v>
      </c>
      <c r="M33" s="35">
        <v>1874</v>
      </c>
      <c r="N33" s="35">
        <v>1863</v>
      </c>
      <c r="O33" s="35">
        <v>1722</v>
      </c>
      <c r="P33" s="43">
        <v>7230</v>
      </c>
      <c r="Q33" s="20"/>
      <c r="R33" s="20"/>
      <c r="S33" s="20"/>
      <c r="T33" s="20"/>
      <c r="U33" s="20"/>
      <c r="V33" s="20"/>
      <c r="W33" s="20"/>
      <c r="X33" s="20"/>
      <c r="Y33" s="45"/>
      <c r="Z33" s="45"/>
      <c r="AA33" s="45"/>
      <c r="AB33" s="45"/>
      <c r="AC33" s="45"/>
      <c r="AD33" s="45"/>
      <c r="AE33" s="45"/>
    </row>
    <row r="34" spans="1:31" x14ac:dyDescent="0.5">
      <c r="A34" s="20"/>
      <c r="B34" s="20"/>
      <c r="C34" s="20"/>
      <c r="D34" s="20"/>
      <c r="E34" s="20"/>
      <c r="F34" s="42"/>
      <c r="G34" s="42"/>
      <c r="H34" s="42"/>
      <c r="I34" s="20"/>
      <c r="J34" s="34" t="str">
        <v>C0015</v>
      </c>
      <c r="K34" s="35">
        <v>1138</v>
      </c>
      <c r="L34" s="35">
        <v>1898</v>
      </c>
      <c r="M34" s="35">
        <v>1482</v>
      </c>
      <c r="N34" s="35">
        <v>846</v>
      </c>
      <c r="O34" s="35">
        <v>1154</v>
      </c>
      <c r="P34" s="43">
        <v>6518</v>
      </c>
      <c r="Q34" s="20"/>
      <c r="R34" s="20"/>
      <c r="S34" s="20"/>
      <c r="T34" s="20"/>
      <c r="U34" s="20"/>
      <c r="V34" s="20"/>
      <c r="W34" s="20"/>
      <c r="X34" s="20"/>
      <c r="Y34" s="45"/>
      <c r="Z34" s="45"/>
      <c r="AA34" s="45"/>
      <c r="AB34" s="45"/>
      <c r="AC34" s="45"/>
      <c r="AD34" s="45"/>
      <c r="AE34" s="45"/>
    </row>
    <row r="35" spans="1:31" x14ac:dyDescent="0.5">
      <c r="A35" s="20"/>
      <c r="B35" s="20"/>
      <c r="C35" s="20"/>
      <c r="D35" s="20"/>
      <c r="E35" s="20"/>
      <c r="F35" s="20" t="str">
        <f>Sheet2!L46</f>
        <v>% of calls:21%</v>
      </c>
      <c r="G35" s="20"/>
      <c r="H35" s="20"/>
      <c r="I35" s="20"/>
      <c r="J35" s="40" t="str">
        <v>Columbus</v>
      </c>
      <c r="K35" s="35" t="str">
        <v/>
      </c>
      <c r="L35" s="35" t="str">
        <v/>
      </c>
      <c r="M35" s="35" t="str">
        <v/>
      </c>
      <c r="N35" s="35" t="str">
        <v/>
      </c>
      <c r="O35" s="35" t="str">
        <v/>
      </c>
      <c r="P35" s="43" t="str">
        <v/>
      </c>
      <c r="Q35" s="20"/>
      <c r="R35" s="20"/>
      <c r="S35" s="20"/>
      <c r="T35" s="20"/>
      <c r="U35" s="20"/>
      <c r="V35" s="20"/>
      <c r="W35" s="20"/>
      <c r="X35" s="20"/>
      <c r="Y35" s="45"/>
      <c r="Z35" s="45"/>
      <c r="AA35" s="45"/>
      <c r="AB35" s="45"/>
      <c r="AC35" s="45"/>
      <c r="AD35" s="45"/>
      <c r="AE35" s="45"/>
    </row>
    <row r="36" spans="1:31" x14ac:dyDescent="0.5">
      <c r="A36" s="20"/>
      <c r="B36" s="20"/>
      <c r="C36" s="20"/>
      <c r="D36" s="20"/>
      <c r="E36" s="20"/>
      <c r="F36" s="20" t="str">
        <f>Sheet2!L47</f>
        <v>call rank:2</v>
      </c>
      <c r="G36" s="20"/>
      <c r="H36" s="20"/>
      <c r="I36" s="20"/>
      <c r="J36" s="34" t="str">
        <v>C0001</v>
      </c>
      <c r="K36" s="35">
        <v>1655</v>
      </c>
      <c r="L36" s="35">
        <v>805</v>
      </c>
      <c r="M36" s="35">
        <v>2263</v>
      </c>
      <c r="N36" s="35">
        <v>987</v>
      </c>
      <c r="O36" s="35">
        <v>1075</v>
      </c>
      <c r="P36" s="43">
        <v>6785</v>
      </c>
      <c r="Q36" s="20"/>
      <c r="R36" s="20"/>
      <c r="S36" s="20"/>
      <c r="T36" s="20"/>
      <c r="U36" s="20"/>
      <c r="V36" s="20"/>
      <c r="W36" s="20"/>
      <c r="X36" s="20"/>
      <c r="Y36" s="45"/>
      <c r="Z36" s="45"/>
      <c r="AA36" s="45"/>
      <c r="AB36" s="45"/>
      <c r="AC36" s="45"/>
      <c r="AD36" s="45"/>
      <c r="AE36" s="45"/>
    </row>
    <row r="37" spans="1:31" x14ac:dyDescent="0.5">
      <c r="A37" s="20"/>
      <c r="B37" s="20"/>
      <c r="C37" s="20"/>
      <c r="D37" s="20"/>
      <c r="E37" s="20"/>
      <c r="F37" s="20" t="str">
        <f>Sheet2!L48</f>
        <v>amount rank:1</v>
      </c>
      <c r="G37" s="20"/>
      <c r="H37" s="20"/>
      <c r="I37" s="20"/>
      <c r="J37" s="34" t="str">
        <v>C0005</v>
      </c>
      <c r="K37" s="35">
        <v>1104</v>
      </c>
      <c r="L37" s="35">
        <v>2280</v>
      </c>
      <c r="M37" s="35">
        <v>1445</v>
      </c>
      <c r="N37" s="35">
        <v>1722</v>
      </c>
      <c r="O37" s="35">
        <v>1196</v>
      </c>
      <c r="P37" s="43">
        <v>7747</v>
      </c>
      <c r="Q37" s="20"/>
      <c r="R37" s="20"/>
      <c r="S37" s="20"/>
      <c r="T37" s="20"/>
      <c r="U37" s="20"/>
      <c r="V37" s="20"/>
      <c r="W37" s="20"/>
      <c r="X37" s="20"/>
      <c r="Y37" s="45"/>
      <c r="Z37" s="45"/>
      <c r="AA37" s="45"/>
      <c r="AB37" s="45"/>
      <c r="AC37" s="45"/>
      <c r="AD37" s="45"/>
      <c r="AE37" s="45"/>
    </row>
    <row r="38" spans="1:31" x14ac:dyDescent="0.5">
      <c r="A38" s="20"/>
      <c r="B38" s="20"/>
      <c r="C38" s="20"/>
      <c r="D38" s="20"/>
      <c r="E38" s="20"/>
      <c r="F38" s="20"/>
      <c r="G38" s="20"/>
      <c r="H38" s="20"/>
      <c r="I38" s="20"/>
      <c r="J38" s="34" t="str">
        <v>C0006</v>
      </c>
      <c r="K38" s="35">
        <v>372</v>
      </c>
      <c r="L38" s="35">
        <v>1818</v>
      </c>
      <c r="M38" s="35">
        <v>1346</v>
      </c>
      <c r="N38" s="35">
        <v>1156</v>
      </c>
      <c r="O38" s="35">
        <v>1484</v>
      </c>
      <c r="P38" s="43">
        <v>6176</v>
      </c>
      <c r="Q38" s="20"/>
      <c r="R38" s="20"/>
      <c r="S38" s="20"/>
      <c r="T38" s="20"/>
      <c r="U38" s="20"/>
      <c r="V38" s="20"/>
      <c r="W38" s="20"/>
      <c r="X38" s="20"/>
      <c r="Y38" s="45"/>
      <c r="Z38" s="45"/>
      <c r="AA38" s="45"/>
      <c r="AB38" s="45"/>
      <c r="AC38" s="45"/>
      <c r="AD38" s="45"/>
      <c r="AE38" s="45"/>
    </row>
    <row r="39" spans="1:31" x14ac:dyDescent="0.5">
      <c r="A39" s="20"/>
      <c r="B39" s="20"/>
      <c r="C39" s="20"/>
      <c r="D39" s="20"/>
      <c r="E39" s="20"/>
      <c r="F39" s="20"/>
      <c r="G39" s="20"/>
      <c r="H39" s="20"/>
      <c r="I39" s="20"/>
      <c r="J39" s="34" t="str">
        <v>C0009</v>
      </c>
      <c r="K39" s="35">
        <v>1415</v>
      </c>
      <c r="L39" s="35">
        <v>1271</v>
      </c>
      <c r="M39" s="35">
        <v>1214</v>
      </c>
      <c r="N39" s="35">
        <v>1135</v>
      </c>
      <c r="O39" s="35">
        <v>1566</v>
      </c>
      <c r="P39" s="43">
        <v>6601</v>
      </c>
      <c r="Q39" s="20"/>
      <c r="R39" s="20"/>
      <c r="S39" s="20"/>
      <c r="T39" s="20"/>
      <c r="U39" s="20"/>
      <c r="V39" s="20"/>
      <c r="W39" s="20"/>
      <c r="X39" s="20"/>
      <c r="Y39" s="45"/>
      <c r="Z39" s="45"/>
      <c r="AA39" s="45"/>
      <c r="AB39" s="45"/>
      <c r="AC39" s="45"/>
      <c r="AD39" s="45"/>
      <c r="AE39" s="45"/>
    </row>
    <row r="40" spans="1:31" x14ac:dyDescent="0.5">
      <c r="A40" s="20"/>
      <c r="B40" s="20"/>
      <c r="C40" s="20"/>
      <c r="D40" s="20"/>
      <c r="E40" s="20"/>
      <c r="F40" s="20"/>
      <c r="G40" s="20"/>
      <c r="H40" s="20"/>
      <c r="I40" s="20"/>
      <c r="J40" s="36" t="str">
        <v>C0014</v>
      </c>
      <c r="K40" s="37">
        <v>1362</v>
      </c>
      <c r="L40" s="37">
        <v>1363</v>
      </c>
      <c r="M40" s="37">
        <v>1152</v>
      </c>
      <c r="N40" s="37">
        <v>777</v>
      </c>
      <c r="O40" s="37">
        <v>750</v>
      </c>
      <c r="P40" s="44">
        <v>5404</v>
      </c>
      <c r="Q40" s="20"/>
      <c r="R40" s="20"/>
      <c r="S40" s="20"/>
      <c r="T40" s="20"/>
      <c r="U40" s="20"/>
      <c r="V40" s="20"/>
      <c r="W40" s="20"/>
      <c r="X40" s="20"/>
      <c r="Y40" s="45"/>
      <c r="Z40" s="45"/>
      <c r="AA40" s="45"/>
      <c r="AB40" s="45"/>
      <c r="AC40" s="45"/>
      <c r="AD40" s="45"/>
      <c r="AE40" s="45"/>
    </row>
    <row r="41" spans="1:31" x14ac:dyDescent="0.5">
      <c r="A41" s="20"/>
      <c r="B41" s="20"/>
      <c r="C41" s="20"/>
      <c r="D41" s="20"/>
      <c r="E41" s="20"/>
      <c r="F41" s="20"/>
      <c r="G41" s="20"/>
      <c r="H41" s="20"/>
      <c r="I41" s="20"/>
      <c r="J41" s="20"/>
      <c r="K41" s="20"/>
      <c r="L41" s="20"/>
      <c r="M41" s="20"/>
      <c r="N41" s="20"/>
      <c r="O41" s="20"/>
      <c r="P41" s="20"/>
      <c r="Q41" s="20"/>
      <c r="R41" s="20"/>
      <c r="S41" s="20"/>
      <c r="T41" s="20"/>
      <c r="U41" s="20"/>
      <c r="V41" s="20"/>
      <c r="W41" s="20"/>
      <c r="X41" s="20"/>
      <c r="Y41" s="45"/>
      <c r="Z41" s="45"/>
      <c r="AA41" s="45"/>
      <c r="AB41" s="45"/>
      <c r="AC41" s="45"/>
      <c r="AD41" s="45"/>
      <c r="AE41" s="45"/>
    </row>
    <row r="42" spans="1:31" x14ac:dyDescent="0.5">
      <c r="A42" s="20"/>
      <c r="B42" s="20"/>
      <c r="C42" s="20"/>
      <c r="D42" s="20"/>
      <c r="E42" s="20"/>
      <c r="F42" s="20"/>
      <c r="G42" s="20"/>
      <c r="H42" s="20"/>
      <c r="I42" s="20"/>
      <c r="J42" s="20"/>
      <c r="K42" s="20"/>
      <c r="L42" s="20"/>
      <c r="M42" s="20"/>
      <c r="N42" s="20"/>
      <c r="O42" s="20"/>
      <c r="P42" s="20"/>
      <c r="Q42" s="20"/>
      <c r="R42" s="20"/>
      <c r="S42" s="20"/>
      <c r="T42" s="20"/>
      <c r="U42" s="20"/>
      <c r="V42" s="20"/>
      <c r="W42" s="20"/>
      <c r="X42" s="20"/>
      <c r="Y42" s="45"/>
      <c r="Z42" s="45"/>
      <c r="AA42" s="45"/>
      <c r="AB42" s="45"/>
      <c r="AC42" s="45"/>
      <c r="AD42" s="45"/>
      <c r="AE42" s="45"/>
    </row>
    <row r="43" spans="1:31" x14ac:dyDescent="0.5">
      <c r="A43" s="20"/>
      <c r="B43" s="20"/>
      <c r="C43" s="20"/>
      <c r="D43" s="20"/>
      <c r="E43" s="20"/>
      <c r="F43" s="20"/>
      <c r="G43" s="20"/>
      <c r="H43" s="20"/>
      <c r="I43" s="20"/>
      <c r="J43" s="20"/>
      <c r="K43" s="20"/>
      <c r="L43" s="20"/>
      <c r="M43" s="20"/>
      <c r="N43" s="20"/>
      <c r="O43" s="20"/>
      <c r="P43" s="20"/>
      <c r="Q43" s="20"/>
      <c r="R43" s="20"/>
      <c r="S43" s="20"/>
      <c r="T43" s="20"/>
      <c r="U43" s="20"/>
      <c r="V43" s="20"/>
      <c r="W43" s="20"/>
      <c r="X43" s="20"/>
      <c r="Y43" s="45"/>
      <c r="Z43" s="45"/>
      <c r="AA43" s="45"/>
      <c r="AB43" s="45"/>
      <c r="AC43" s="45"/>
      <c r="AD43" s="45"/>
      <c r="AE43" s="45"/>
    </row>
    <row r="44" spans="1:31" x14ac:dyDescent="0.5">
      <c r="A44" s="20"/>
      <c r="B44" s="20"/>
      <c r="C44" s="20"/>
      <c r="D44" s="20"/>
      <c r="E44" s="20"/>
      <c r="F44" s="20"/>
      <c r="G44" s="20"/>
      <c r="H44" s="20"/>
      <c r="I44" s="20"/>
      <c r="J44" s="20"/>
      <c r="K44" s="20"/>
      <c r="L44" s="20"/>
      <c r="M44" s="20"/>
      <c r="N44" s="20"/>
      <c r="O44" s="20"/>
      <c r="P44" s="20"/>
      <c r="Q44" s="20"/>
      <c r="R44" s="20"/>
      <c r="S44" s="20"/>
      <c r="T44" s="20"/>
      <c r="U44" s="20"/>
      <c r="V44" s="20"/>
      <c r="W44" s="20"/>
      <c r="X44" s="20"/>
      <c r="Y44" s="45"/>
      <c r="Z44" s="45"/>
      <c r="AA44" s="45"/>
      <c r="AB44" s="45"/>
      <c r="AC44" s="45"/>
      <c r="AD44" s="45"/>
      <c r="AE44" s="45"/>
    </row>
    <row r="45" spans="1:31" x14ac:dyDescent="0.5">
      <c r="A45" s="20"/>
      <c r="B45" s="20"/>
      <c r="C45" s="20"/>
      <c r="D45" s="20"/>
      <c r="E45" s="20"/>
      <c r="F45" s="20"/>
      <c r="G45" s="20"/>
      <c r="H45" s="20"/>
      <c r="I45" s="20"/>
      <c r="J45" s="20"/>
      <c r="K45" s="20"/>
      <c r="L45" s="20"/>
      <c r="M45" s="20"/>
      <c r="N45" s="20"/>
      <c r="O45" s="20"/>
      <c r="P45" s="20"/>
      <c r="Q45" s="20"/>
      <c r="R45" s="20"/>
      <c r="S45" s="20"/>
      <c r="T45" s="20"/>
      <c r="U45" s="20"/>
      <c r="V45" s="20"/>
      <c r="W45" s="20"/>
      <c r="X45" s="20"/>
      <c r="Y45" s="45"/>
      <c r="Z45" s="45"/>
      <c r="AA45" s="45"/>
      <c r="AB45" s="45"/>
      <c r="AC45" s="45"/>
      <c r="AD45" s="45"/>
      <c r="AE45" s="45"/>
    </row>
    <row r="46" spans="1:31" x14ac:dyDescent="0.5">
      <c r="A46" s="20"/>
      <c r="B46" s="20"/>
      <c r="C46" s="20"/>
      <c r="D46" s="20"/>
      <c r="E46" s="20"/>
      <c r="F46" s="20"/>
      <c r="G46" s="20"/>
      <c r="H46" s="20"/>
      <c r="I46" s="20"/>
      <c r="J46" s="20"/>
      <c r="K46" s="20"/>
      <c r="L46" s="20"/>
      <c r="M46" s="20"/>
      <c r="N46" s="20"/>
      <c r="O46" s="20"/>
      <c r="P46" s="20"/>
      <c r="Q46" s="20"/>
      <c r="R46" s="20"/>
      <c r="S46" s="20"/>
      <c r="T46" s="20"/>
      <c r="U46" s="20"/>
      <c r="V46" s="20"/>
      <c r="W46" s="20"/>
      <c r="X46" s="20"/>
      <c r="Y46" s="45"/>
      <c r="Z46" s="45"/>
      <c r="AA46" s="45"/>
      <c r="AB46" s="45"/>
      <c r="AC46" s="45"/>
      <c r="AD46" s="45"/>
      <c r="AE46" s="45"/>
    </row>
    <row r="47" spans="1:31" x14ac:dyDescent="0.5">
      <c r="A47" s="20"/>
      <c r="B47" s="20"/>
      <c r="C47" s="20"/>
      <c r="D47" s="20"/>
      <c r="E47" s="20"/>
      <c r="F47" s="20"/>
      <c r="G47" s="20"/>
      <c r="H47" s="20"/>
      <c r="I47" s="20"/>
      <c r="J47" s="20"/>
      <c r="K47" s="20"/>
      <c r="L47" s="20"/>
      <c r="M47" s="20"/>
      <c r="N47" s="20"/>
      <c r="O47" s="20"/>
      <c r="P47" s="20"/>
      <c r="Q47" s="20"/>
      <c r="R47" s="20"/>
      <c r="S47" s="20"/>
      <c r="T47" s="20"/>
      <c r="U47" s="20"/>
      <c r="V47" s="20"/>
      <c r="W47" s="20"/>
      <c r="X47" s="20"/>
      <c r="Y47" s="45"/>
      <c r="Z47" s="45"/>
      <c r="AA47" s="45"/>
      <c r="AB47" s="45"/>
      <c r="AC47" s="45"/>
      <c r="AD47" s="45"/>
      <c r="AE47" s="45"/>
    </row>
    <row r="48" spans="1:31" x14ac:dyDescent="0.5">
      <c r="A48" s="20"/>
      <c r="B48" s="20"/>
      <c r="C48" s="20"/>
      <c r="D48" s="20"/>
      <c r="E48" s="20"/>
      <c r="F48" s="20"/>
      <c r="G48" s="20"/>
      <c r="H48" s="20"/>
      <c r="I48" s="20"/>
      <c r="J48" s="20"/>
      <c r="K48" s="20"/>
      <c r="L48" s="20"/>
      <c r="M48" s="20"/>
      <c r="N48" s="20"/>
      <c r="O48" s="20"/>
      <c r="P48" s="20"/>
      <c r="Q48" s="20"/>
      <c r="R48" s="20"/>
      <c r="S48" s="20"/>
      <c r="T48" s="20"/>
      <c r="U48" s="20"/>
      <c r="V48" s="20"/>
      <c r="W48" s="20"/>
      <c r="X48" s="20"/>
      <c r="Y48" s="45"/>
      <c r="Z48" s="45"/>
      <c r="AA48" s="45"/>
      <c r="AB48" s="45"/>
      <c r="AC48" s="45"/>
      <c r="AD48" s="45"/>
      <c r="AE48" s="45"/>
    </row>
    <row r="49" spans="1:31" x14ac:dyDescent="0.5">
      <c r="A49" s="20"/>
      <c r="B49" s="20"/>
      <c r="C49" s="20"/>
      <c r="D49" s="20"/>
      <c r="E49" s="20"/>
      <c r="F49" s="20"/>
      <c r="G49" s="20"/>
      <c r="H49" s="20"/>
      <c r="I49" s="20"/>
      <c r="J49" s="20"/>
      <c r="K49" s="20"/>
      <c r="L49" s="20"/>
      <c r="M49" s="20"/>
      <c r="N49" s="20"/>
      <c r="O49" s="20"/>
      <c r="P49" s="20"/>
      <c r="Q49" s="20"/>
      <c r="R49" s="20"/>
      <c r="S49" s="20"/>
      <c r="T49" s="20"/>
      <c r="U49" s="20"/>
      <c r="V49" s="20"/>
      <c r="W49" s="20"/>
      <c r="X49" s="20"/>
      <c r="Y49" s="45"/>
      <c r="Z49" s="45"/>
      <c r="AA49" s="45"/>
      <c r="AB49" s="45"/>
      <c r="AC49" s="45"/>
      <c r="AD49" s="45"/>
      <c r="AE49" s="45"/>
    </row>
    <row r="50" spans="1:31" x14ac:dyDescent="0.5">
      <c r="A50" s="20"/>
      <c r="B50" s="20"/>
      <c r="C50" s="20"/>
      <c r="D50" s="20"/>
      <c r="E50" s="20"/>
      <c r="F50" s="20"/>
      <c r="G50" s="20"/>
      <c r="H50" s="20"/>
      <c r="I50" s="20"/>
      <c r="J50" s="20"/>
      <c r="K50" s="20"/>
      <c r="L50" s="20"/>
      <c r="M50" s="20"/>
      <c r="N50" s="20"/>
      <c r="O50" s="20"/>
      <c r="P50" s="20"/>
      <c r="Q50" s="20"/>
      <c r="R50" s="20"/>
      <c r="S50" s="20"/>
      <c r="T50" s="20"/>
      <c r="U50" s="20"/>
      <c r="V50" s="20"/>
      <c r="W50" s="20"/>
      <c r="X50" s="20"/>
      <c r="Y50" s="45"/>
      <c r="Z50" s="45"/>
      <c r="AA50" s="45"/>
      <c r="AB50" s="45"/>
      <c r="AC50" s="45"/>
      <c r="AD50" s="45"/>
      <c r="AE50" s="45"/>
    </row>
    <row r="51" spans="1:31" x14ac:dyDescent="0.5">
      <c r="A51" s="20"/>
      <c r="B51" s="20"/>
      <c r="C51" s="20"/>
      <c r="D51" s="20"/>
      <c r="E51" s="20"/>
      <c r="F51" s="20"/>
      <c r="G51" s="20"/>
      <c r="H51" s="20"/>
      <c r="I51" s="20"/>
      <c r="J51" s="20"/>
      <c r="K51" s="20"/>
      <c r="L51" s="20"/>
      <c r="M51" s="20"/>
      <c r="N51" s="20"/>
      <c r="O51" s="20"/>
      <c r="P51" s="20"/>
      <c r="Q51" s="20"/>
      <c r="R51" s="20"/>
      <c r="S51" s="20"/>
      <c r="T51" s="20"/>
      <c r="U51" s="20"/>
      <c r="V51" s="20"/>
      <c r="W51" s="20"/>
      <c r="X51" s="20"/>
      <c r="Y51" s="45"/>
      <c r="Z51" s="45"/>
      <c r="AA51" s="45"/>
      <c r="AB51" s="45"/>
      <c r="AC51" s="45"/>
      <c r="AD51" s="45"/>
      <c r="AE51" s="45"/>
    </row>
    <row r="52" spans="1:31" x14ac:dyDescent="0.5">
      <c r="A52" s="20"/>
      <c r="B52" s="20"/>
      <c r="C52" s="20"/>
      <c r="D52" s="20"/>
      <c r="E52" s="20"/>
      <c r="F52" s="20"/>
      <c r="G52" s="20"/>
      <c r="H52" s="20"/>
      <c r="I52" s="20"/>
      <c r="J52" s="20"/>
      <c r="K52" s="20"/>
      <c r="L52" s="20"/>
      <c r="M52" s="20"/>
      <c r="N52" s="20"/>
      <c r="O52" s="20"/>
      <c r="P52" s="20"/>
      <c r="Q52" s="20"/>
      <c r="R52" s="20"/>
      <c r="S52" s="20"/>
      <c r="T52" s="20"/>
      <c r="U52" s="20"/>
      <c r="V52" s="20"/>
      <c r="W52" s="20"/>
      <c r="X52" s="20"/>
      <c r="Y52" s="45"/>
      <c r="Z52" s="45"/>
      <c r="AA52" s="45"/>
      <c r="AB52" s="45"/>
      <c r="AC52" s="45"/>
      <c r="AD52" s="45"/>
      <c r="AE52" s="45"/>
    </row>
    <row r="53" spans="1:31" x14ac:dyDescent="0.5">
      <c r="A53" s="20"/>
      <c r="B53" s="20"/>
      <c r="C53" s="20"/>
      <c r="D53" s="20"/>
      <c r="E53" s="20"/>
      <c r="F53" s="20"/>
      <c r="G53" s="20"/>
      <c r="H53" s="20"/>
      <c r="I53" s="20"/>
      <c r="J53" s="20"/>
      <c r="K53" s="20"/>
      <c r="L53" s="20"/>
      <c r="M53" s="20"/>
      <c r="N53" s="20"/>
      <c r="O53" s="20"/>
      <c r="P53" s="20"/>
      <c r="Q53" s="20"/>
      <c r="R53" s="20"/>
      <c r="S53" s="20"/>
      <c r="T53" s="20"/>
      <c r="U53" s="20"/>
      <c r="V53" s="20"/>
      <c r="W53" s="20"/>
      <c r="X53" s="20"/>
      <c r="Y53" s="45"/>
      <c r="Z53" s="45"/>
      <c r="AA53" s="45"/>
      <c r="AB53" s="45"/>
      <c r="AC53" s="45"/>
      <c r="AD53" s="45"/>
      <c r="AE53" s="45"/>
    </row>
    <row r="54" spans="1:31" x14ac:dyDescent="0.5">
      <c r="F54" s="45"/>
      <c r="G54" s="45"/>
      <c r="H54" s="45"/>
      <c r="I54" s="45"/>
      <c r="J54" s="45"/>
      <c r="K54" s="45"/>
      <c r="L54" s="45"/>
      <c r="M54" s="45"/>
      <c r="N54" s="45"/>
      <c r="O54" s="45"/>
      <c r="P54" s="45"/>
      <c r="Q54" s="45"/>
      <c r="R54" s="45"/>
      <c r="S54" s="45"/>
      <c r="T54" s="45"/>
      <c r="U54" s="45"/>
      <c r="V54" s="45"/>
      <c r="W54" s="45"/>
      <c r="X54" s="45"/>
      <c r="Y54" s="45"/>
      <c r="Z54" s="45"/>
      <c r="AA54" s="45"/>
      <c r="AB54" s="45"/>
    </row>
    <row r="55" spans="1:31" x14ac:dyDescent="0.5">
      <c r="F55" s="45"/>
      <c r="G55" s="45"/>
      <c r="H55" s="45"/>
      <c r="I55" s="45"/>
      <c r="J55" s="45"/>
      <c r="K55" s="45"/>
      <c r="L55" s="45"/>
      <c r="M55" s="45"/>
      <c r="N55" s="45"/>
      <c r="O55" s="45"/>
      <c r="P55" s="45"/>
      <c r="Q55" s="45"/>
      <c r="R55" s="45"/>
      <c r="S55" s="45"/>
      <c r="T55" s="45"/>
      <c r="U55" s="45"/>
      <c r="V55" s="45"/>
      <c r="W55" s="45"/>
      <c r="X55" s="45"/>
      <c r="Y55" s="45"/>
      <c r="Z55" s="45"/>
      <c r="AA55" s="45"/>
      <c r="AB55" s="45"/>
    </row>
    <row r="56" spans="1:31" x14ac:dyDescent="0.5">
      <c r="F56" s="45"/>
      <c r="G56" s="45"/>
      <c r="H56" s="45"/>
      <c r="I56" s="45"/>
      <c r="J56" s="45"/>
      <c r="K56" s="45"/>
      <c r="L56" s="45"/>
      <c r="M56" s="45"/>
      <c r="N56" s="45"/>
      <c r="O56" s="45"/>
      <c r="P56" s="45"/>
      <c r="Q56" s="45"/>
      <c r="R56" s="45"/>
      <c r="S56" s="45"/>
      <c r="T56" s="45"/>
      <c r="U56" s="45"/>
      <c r="V56" s="45"/>
      <c r="W56" s="45"/>
      <c r="X56" s="45"/>
      <c r="Y56" s="45"/>
      <c r="Z56" s="45"/>
      <c r="AA56" s="45"/>
      <c r="AB56" s="45"/>
    </row>
    <row r="57" spans="1:31" x14ac:dyDescent="0.5">
      <c r="F57" s="45"/>
      <c r="G57" s="45"/>
      <c r="H57" s="45"/>
      <c r="I57" s="45"/>
      <c r="J57" s="45"/>
      <c r="K57" s="45"/>
      <c r="L57" s="45"/>
      <c r="M57" s="45"/>
      <c r="N57" s="45"/>
      <c r="O57" s="45"/>
      <c r="P57" s="45"/>
      <c r="Q57" s="45"/>
      <c r="R57" s="45"/>
      <c r="S57" s="45"/>
      <c r="T57" s="45"/>
      <c r="U57" s="45"/>
      <c r="V57" s="45"/>
      <c r="W57" s="45"/>
      <c r="X57" s="45"/>
      <c r="Y57" s="45"/>
      <c r="Z57" s="45"/>
      <c r="AA57" s="45"/>
      <c r="AB57" s="45"/>
    </row>
    <row r="58" spans="1:31" x14ac:dyDescent="0.5">
      <c r="F58" s="45"/>
      <c r="G58" s="45"/>
      <c r="H58" s="45"/>
      <c r="I58" s="45"/>
      <c r="J58" s="45"/>
      <c r="K58" s="45"/>
      <c r="L58" s="45"/>
      <c r="M58" s="45"/>
      <c r="N58" s="45"/>
      <c r="O58" s="45"/>
      <c r="P58" s="45"/>
      <c r="Q58" s="45"/>
      <c r="R58" s="45"/>
      <c r="S58" s="45"/>
      <c r="T58" s="45"/>
      <c r="U58" s="45"/>
      <c r="V58" s="45"/>
      <c r="W58" s="45"/>
      <c r="X58" s="45"/>
      <c r="Y58" s="45"/>
      <c r="Z58" s="45"/>
      <c r="AA58" s="45"/>
      <c r="AB58" s="45"/>
    </row>
    <row r="59" spans="1:31" x14ac:dyDescent="0.5">
      <c r="F59" s="45"/>
      <c r="G59" s="45"/>
      <c r="H59" s="45"/>
      <c r="I59" s="45"/>
      <c r="J59" s="45"/>
      <c r="K59" s="45"/>
      <c r="L59" s="45"/>
      <c r="M59" s="45"/>
      <c r="N59" s="45"/>
      <c r="O59" s="45"/>
      <c r="P59" s="45"/>
      <c r="Q59" s="45"/>
      <c r="R59" s="45"/>
      <c r="S59" s="45"/>
      <c r="T59" s="45"/>
      <c r="U59" s="45"/>
      <c r="V59" s="45"/>
      <c r="W59" s="45"/>
      <c r="X59" s="45"/>
      <c r="Y59" s="45"/>
      <c r="Z59" s="45"/>
      <c r="AA59" s="45"/>
      <c r="AB59" s="45"/>
    </row>
    <row r="60" spans="1:31" x14ac:dyDescent="0.5">
      <c r="F60" s="45"/>
      <c r="G60" s="45"/>
      <c r="H60" s="45"/>
      <c r="I60" s="45"/>
      <c r="J60" s="45"/>
      <c r="K60" s="45"/>
      <c r="L60" s="45"/>
      <c r="M60" s="45"/>
      <c r="N60" s="45"/>
      <c r="O60" s="45"/>
      <c r="P60" s="45"/>
      <c r="Q60" s="45"/>
      <c r="R60" s="45"/>
      <c r="S60" s="45"/>
      <c r="T60" s="45"/>
      <c r="U60" s="45"/>
      <c r="V60" s="45"/>
      <c r="W60" s="45"/>
      <c r="X60" s="45"/>
      <c r="Y60" s="45"/>
      <c r="Z60" s="45"/>
      <c r="AA60" s="45"/>
      <c r="AB60" s="45"/>
    </row>
    <row r="61" spans="1:31" x14ac:dyDescent="0.5">
      <c r="F61" s="45"/>
      <c r="G61" s="45"/>
      <c r="H61" s="45"/>
      <c r="I61" s="45"/>
      <c r="J61" s="45"/>
      <c r="K61" s="45"/>
      <c r="L61" s="45"/>
      <c r="M61" s="45"/>
      <c r="N61" s="45"/>
      <c r="O61" s="45"/>
      <c r="P61" s="45"/>
      <c r="Q61" s="45"/>
      <c r="R61" s="45"/>
      <c r="S61" s="45"/>
      <c r="T61" s="45"/>
      <c r="U61" s="45"/>
      <c r="V61" s="45"/>
      <c r="W61" s="45"/>
      <c r="X61" s="45"/>
      <c r="Y61" s="45"/>
      <c r="Z61" s="45"/>
      <c r="AA61" s="45"/>
      <c r="AB61" s="45"/>
    </row>
    <row r="62" spans="1:31" x14ac:dyDescent="0.5">
      <c r="F62" s="45"/>
      <c r="G62" s="45"/>
      <c r="H62" s="45"/>
      <c r="I62" s="45"/>
      <c r="J62" s="45"/>
      <c r="K62" s="45"/>
      <c r="L62" s="45"/>
      <c r="M62" s="45"/>
      <c r="N62" s="45"/>
      <c r="O62" s="45"/>
      <c r="P62" s="45"/>
      <c r="Q62" s="45"/>
      <c r="R62" s="45"/>
      <c r="S62" s="45"/>
      <c r="T62" s="45"/>
      <c r="U62" s="45"/>
      <c r="V62" s="45"/>
      <c r="W62" s="45"/>
      <c r="X62" s="45"/>
      <c r="Y62" s="45"/>
      <c r="Z62" s="45"/>
      <c r="AA62" s="45"/>
      <c r="AB62" s="45"/>
    </row>
    <row r="63" spans="1:31" x14ac:dyDescent="0.5">
      <c r="F63" s="45"/>
      <c r="G63" s="45"/>
      <c r="H63" s="45"/>
      <c r="I63" s="45"/>
      <c r="J63" s="45"/>
      <c r="K63" s="45"/>
      <c r="L63" s="45"/>
      <c r="M63" s="45"/>
      <c r="N63" s="45"/>
      <c r="O63" s="45"/>
      <c r="P63" s="45"/>
      <c r="Q63" s="45"/>
      <c r="R63" s="45"/>
      <c r="S63" s="45"/>
      <c r="T63" s="45"/>
      <c r="U63" s="45"/>
      <c r="V63" s="45"/>
      <c r="W63" s="45"/>
      <c r="X63" s="45"/>
      <c r="Y63" s="45"/>
      <c r="Z63" s="45"/>
      <c r="AA63" s="45"/>
      <c r="AB63" s="45"/>
    </row>
    <row r="64" spans="1:31" x14ac:dyDescent="0.5">
      <c r="F64" s="45"/>
      <c r="G64" s="45"/>
      <c r="H64" s="45"/>
      <c r="I64" s="45"/>
      <c r="J64" s="45"/>
      <c r="K64" s="45"/>
      <c r="L64" s="45"/>
      <c r="M64" s="45"/>
      <c r="N64" s="45"/>
      <c r="O64" s="45"/>
      <c r="P64" s="45"/>
      <c r="Q64" s="45"/>
      <c r="R64" s="45"/>
      <c r="S64" s="45"/>
      <c r="T64" s="45"/>
      <c r="U64" s="45"/>
      <c r="V64" s="45"/>
      <c r="W64" s="45"/>
      <c r="X64" s="45"/>
      <c r="Y64" s="45"/>
      <c r="Z64" s="45"/>
      <c r="AA64" s="45"/>
      <c r="AB64" s="45"/>
    </row>
    <row r="65" spans="6:28" x14ac:dyDescent="0.5">
      <c r="F65" s="45"/>
      <c r="G65" s="45"/>
      <c r="H65" s="45"/>
      <c r="I65" s="45"/>
      <c r="J65" s="45"/>
      <c r="K65" s="45"/>
      <c r="L65" s="45"/>
      <c r="M65" s="45"/>
      <c r="N65" s="45"/>
      <c r="O65" s="45"/>
      <c r="P65" s="45"/>
      <c r="Q65" s="45"/>
      <c r="R65" s="45"/>
      <c r="S65" s="45"/>
      <c r="T65" s="45"/>
      <c r="U65" s="45"/>
      <c r="V65" s="45"/>
      <c r="W65" s="45"/>
      <c r="X65" s="45"/>
      <c r="Y65" s="45"/>
      <c r="Z65" s="45"/>
      <c r="AA65" s="45"/>
      <c r="AB65" s="45"/>
    </row>
    <row r="66" spans="6:28" x14ac:dyDescent="0.5">
      <c r="F66" s="45"/>
      <c r="G66" s="45"/>
      <c r="H66" s="45"/>
      <c r="I66" s="45"/>
      <c r="J66" s="45"/>
      <c r="K66" s="45"/>
      <c r="L66" s="45"/>
      <c r="M66" s="45"/>
      <c r="N66" s="45"/>
      <c r="O66" s="45"/>
      <c r="P66" s="45"/>
      <c r="Q66" s="45"/>
      <c r="R66" s="45"/>
      <c r="S66" s="45"/>
      <c r="T66" s="45"/>
      <c r="U66" s="45"/>
      <c r="V66" s="45"/>
      <c r="W66" s="45"/>
      <c r="X66" s="45"/>
      <c r="Y66" s="45"/>
      <c r="Z66" s="45"/>
      <c r="AA66" s="45"/>
      <c r="AB66" s="45"/>
    </row>
    <row r="67" spans="6:28" x14ac:dyDescent="0.5">
      <c r="F67" s="45"/>
      <c r="G67" s="45"/>
      <c r="H67" s="45"/>
      <c r="I67" s="45"/>
      <c r="J67" s="45"/>
      <c r="K67" s="45"/>
      <c r="L67" s="45"/>
      <c r="M67" s="45"/>
      <c r="N67" s="45"/>
      <c r="O67" s="45"/>
      <c r="P67" s="45"/>
      <c r="Q67" s="45"/>
      <c r="R67" s="45"/>
      <c r="S67" s="45"/>
      <c r="T67" s="45"/>
      <c r="U67" s="45"/>
      <c r="V67" s="45"/>
      <c r="W67" s="45"/>
      <c r="X67" s="45"/>
      <c r="Y67" s="45"/>
      <c r="Z67" s="45"/>
      <c r="AA67" s="45"/>
      <c r="AB67" s="45"/>
    </row>
    <row r="68" spans="6:28" x14ac:dyDescent="0.5">
      <c r="F68" s="45"/>
      <c r="G68" s="45"/>
      <c r="H68" s="45"/>
      <c r="I68" s="45"/>
      <c r="J68" s="45"/>
      <c r="K68" s="45"/>
      <c r="L68" s="45"/>
      <c r="M68" s="45"/>
      <c r="N68" s="45"/>
      <c r="O68" s="45"/>
      <c r="P68" s="45"/>
      <c r="Q68" s="45"/>
      <c r="R68" s="45"/>
      <c r="S68" s="45"/>
      <c r="T68" s="45"/>
      <c r="U68" s="45"/>
      <c r="V68" s="45"/>
      <c r="W68" s="45"/>
      <c r="X68" s="45"/>
      <c r="Y68" s="45"/>
      <c r="Z68" s="45"/>
      <c r="AA68" s="45"/>
      <c r="AB68" s="45"/>
    </row>
    <row r="69" spans="6:28" x14ac:dyDescent="0.5">
      <c r="F69" s="45"/>
      <c r="G69" s="45"/>
      <c r="H69" s="45"/>
      <c r="I69" s="45"/>
      <c r="J69" s="45"/>
      <c r="K69" s="45"/>
      <c r="L69" s="45"/>
      <c r="M69" s="45"/>
      <c r="N69" s="45"/>
      <c r="O69" s="45"/>
      <c r="P69" s="45"/>
      <c r="Q69" s="45"/>
      <c r="R69" s="45"/>
      <c r="S69" s="45"/>
      <c r="T69" s="45"/>
      <c r="U69" s="45"/>
      <c r="V69" s="45"/>
      <c r="W69" s="45"/>
      <c r="X69" s="45"/>
      <c r="Y69" s="45"/>
      <c r="Z69" s="45"/>
      <c r="AA69" s="45"/>
      <c r="AB69" s="45"/>
    </row>
    <row r="70" spans="6:28" x14ac:dyDescent="0.5">
      <c r="F70" s="45"/>
      <c r="G70" s="45"/>
      <c r="H70" s="45"/>
      <c r="I70" s="45"/>
      <c r="J70" s="45"/>
      <c r="K70" s="45"/>
      <c r="L70" s="45"/>
      <c r="M70" s="45"/>
      <c r="N70" s="45"/>
      <c r="O70" s="45"/>
      <c r="P70" s="45"/>
      <c r="Q70" s="45"/>
      <c r="R70" s="45"/>
      <c r="S70" s="45"/>
      <c r="T70" s="45"/>
      <c r="U70" s="45"/>
      <c r="V70" s="45"/>
      <c r="W70" s="45"/>
      <c r="X70" s="45"/>
      <c r="Y70" s="45"/>
      <c r="Z70" s="45"/>
      <c r="AA70" s="45"/>
      <c r="AB70" s="45"/>
    </row>
    <row r="71" spans="6:28" x14ac:dyDescent="0.5">
      <c r="F71" s="45"/>
      <c r="G71" s="45"/>
      <c r="H71" s="45"/>
      <c r="I71" s="45"/>
      <c r="J71" s="45"/>
      <c r="K71" s="45"/>
      <c r="L71" s="45"/>
      <c r="M71" s="45"/>
      <c r="N71" s="45"/>
      <c r="O71" s="45"/>
      <c r="P71" s="45"/>
      <c r="Q71" s="45"/>
      <c r="R71" s="45"/>
      <c r="S71" s="45"/>
      <c r="T71" s="45"/>
      <c r="U71" s="45"/>
      <c r="V71" s="45"/>
      <c r="W71" s="45"/>
      <c r="X71" s="45"/>
      <c r="Y71" s="45"/>
      <c r="Z71" s="45"/>
      <c r="AA71" s="45"/>
      <c r="AB71" s="45"/>
    </row>
    <row r="72" spans="6:28" x14ac:dyDescent="0.5">
      <c r="F72" s="45"/>
      <c r="G72" s="45"/>
      <c r="H72" s="45"/>
      <c r="I72" s="45"/>
      <c r="J72" s="45"/>
      <c r="K72" s="45"/>
      <c r="L72" s="45"/>
      <c r="M72" s="45"/>
      <c r="N72" s="45"/>
      <c r="O72" s="45"/>
      <c r="P72" s="45"/>
      <c r="Q72" s="45"/>
      <c r="R72" s="45"/>
      <c r="S72" s="45"/>
      <c r="T72" s="45"/>
      <c r="U72" s="45"/>
      <c r="V72" s="45"/>
      <c r="W72" s="45"/>
      <c r="X72" s="45"/>
      <c r="Y72" s="45"/>
      <c r="Z72" s="45"/>
      <c r="AA72" s="45"/>
      <c r="AB72" s="45"/>
    </row>
    <row r="73" spans="6:28" x14ac:dyDescent="0.5">
      <c r="F73" s="45"/>
      <c r="G73" s="45"/>
      <c r="H73" s="45"/>
      <c r="I73" s="45"/>
      <c r="J73" s="45"/>
      <c r="K73" s="45"/>
      <c r="L73" s="45"/>
      <c r="M73" s="45"/>
      <c r="N73" s="45"/>
      <c r="O73" s="45"/>
      <c r="P73" s="45"/>
      <c r="Q73" s="45"/>
      <c r="R73" s="45"/>
      <c r="S73" s="45"/>
      <c r="T73" s="45"/>
      <c r="U73" s="45"/>
      <c r="V73" s="45"/>
      <c r="W73" s="45"/>
      <c r="X73" s="45"/>
      <c r="Y73" s="45"/>
      <c r="Z73" s="45"/>
      <c r="AA73" s="45"/>
      <c r="AB73" s="45"/>
    </row>
    <row r="74" spans="6:28" x14ac:dyDescent="0.5">
      <c r="F74" s="45"/>
      <c r="G74" s="45"/>
      <c r="H74" s="45"/>
      <c r="I74" s="45"/>
      <c r="J74" s="45"/>
      <c r="K74" s="45"/>
      <c r="L74" s="45"/>
      <c r="M74" s="45"/>
      <c r="N74" s="45"/>
      <c r="O74" s="45"/>
      <c r="P74" s="45"/>
      <c r="Q74" s="45"/>
      <c r="R74" s="45"/>
      <c r="S74" s="45"/>
      <c r="T74" s="45"/>
      <c r="U74" s="45"/>
      <c r="V74" s="45"/>
      <c r="W74" s="45"/>
      <c r="X74" s="45"/>
      <c r="Y74" s="45"/>
      <c r="Z74" s="45"/>
      <c r="AA74" s="45"/>
      <c r="AB74" s="45"/>
    </row>
    <row r="75" spans="6:28" x14ac:dyDescent="0.5">
      <c r="F75" s="45"/>
      <c r="G75" s="45"/>
      <c r="H75" s="45"/>
      <c r="I75" s="45"/>
      <c r="J75" s="45"/>
      <c r="K75" s="45"/>
      <c r="L75" s="45"/>
      <c r="M75" s="45"/>
      <c r="N75" s="45"/>
      <c r="O75" s="45"/>
      <c r="P75" s="45"/>
      <c r="Q75" s="45"/>
      <c r="R75" s="45"/>
      <c r="S75" s="45"/>
      <c r="T75" s="45"/>
      <c r="U75" s="45"/>
      <c r="V75" s="45"/>
      <c r="W75" s="45"/>
      <c r="X75" s="45"/>
      <c r="Y75" s="45"/>
      <c r="Z75" s="45"/>
      <c r="AA75" s="45"/>
      <c r="AB75" s="45"/>
    </row>
    <row r="76" spans="6:28" x14ac:dyDescent="0.5">
      <c r="F76" s="45"/>
      <c r="G76" s="45"/>
      <c r="H76" s="45"/>
      <c r="I76" s="45"/>
      <c r="J76" s="45"/>
      <c r="K76" s="45"/>
      <c r="L76" s="45"/>
      <c r="M76" s="45"/>
      <c r="N76" s="45"/>
      <c r="O76" s="45"/>
      <c r="P76" s="45"/>
      <c r="Q76" s="45"/>
      <c r="R76" s="45"/>
      <c r="S76" s="45"/>
      <c r="T76" s="45"/>
      <c r="U76" s="45"/>
      <c r="V76" s="45"/>
      <c r="W76" s="45"/>
      <c r="X76" s="45"/>
      <c r="Y76" s="45"/>
      <c r="Z76" s="45"/>
      <c r="AA76" s="45"/>
      <c r="AB76" s="45"/>
    </row>
    <row r="77" spans="6:28" x14ac:dyDescent="0.5">
      <c r="F77" s="45"/>
      <c r="G77" s="45"/>
      <c r="H77" s="45"/>
      <c r="I77" s="45"/>
      <c r="J77" s="45"/>
      <c r="K77" s="45"/>
      <c r="L77" s="45"/>
      <c r="M77" s="45"/>
      <c r="N77" s="45"/>
      <c r="O77" s="45"/>
      <c r="P77" s="45"/>
      <c r="Q77" s="45"/>
      <c r="R77" s="45"/>
      <c r="S77" s="45"/>
      <c r="T77" s="45"/>
      <c r="U77" s="45"/>
      <c r="V77" s="45"/>
      <c r="W77" s="45"/>
      <c r="X77" s="45"/>
      <c r="Y77" s="45"/>
      <c r="Z77" s="45"/>
      <c r="AA77" s="45"/>
      <c r="AB77" s="45"/>
    </row>
    <row r="78" spans="6:28" x14ac:dyDescent="0.5">
      <c r="F78" s="45"/>
      <c r="G78" s="45"/>
      <c r="H78" s="45"/>
      <c r="I78" s="45"/>
      <c r="J78" s="45"/>
      <c r="K78" s="45"/>
      <c r="L78" s="45"/>
      <c r="M78" s="45"/>
      <c r="N78" s="45"/>
      <c r="O78" s="45"/>
      <c r="P78" s="45"/>
      <c r="Q78" s="45"/>
      <c r="R78" s="45"/>
      <c r="S78" s="45"/>
      <c r="T78" s="45"/>
      <c r="U78" s="45"/>
      <c r="V78" s="45"/>
      <c r="W78" s="45"/>
      <c r="X78" s="45"/>
      <c r="Y78" s="45"/>
      <c r="Z78" s="45"/>
      <c r="AA78" s="45"/>
      <c r="AB78" s="45"/>
    </row>
    <row r="79" spans="6:28" x14ac:dyDescent="0.5">
      <c r="F79" s="45"/>
      <c r="G79" s="45"/>
      <c r="H79" s="45"/>
      <c r="I79" s="45"/>
      <c r="J79" s="45"/>
      <c r="K79" s="45"/>
      <c r="L79" s="45"/>
      <c r="M79" s="45"/>
      <c r="N79" s="45"/>
      <c r="O79" s="45"/>
      <c r="P79" s="45"/>
      <c r="Q79" s="45"/>
      <c r="R79" s="45"/>
      <c r="S79" s="45"/>
      <c r="T79" s="45"/>
      <c r="U79" s="45"/>
      <c r="V79" s="45"/>
      <c r="W79" s="45"/>
      <c r="X79" s="45"/>
      <c r="Y79" s="45"/>
      <c r="Z79" s="45"/>
      <c r="AA79" s="45"/>
      <c r="AB79" s="45"/>
    </row>
  </sheetData>
  <mergeCells count="1">
    <mergeCell ref="F31:H34"/>
  </mergeCells>
  <pageMargins left="0.7" right="0.7" top="0.75" bottom="0.75" header="0.3" footer="0.3"/>
  <pageSetup paperSize="9" orientation="portrait" horizontalDpi="0" verticalDpi="0" r:id="rId1"/>
  <drawing r:id="rId2"/>
  <extLst>
    <ext xmlns:x14="http://schemas.microsoft.com/office/spreadsheetml/2009/9/main" uri="{78C0D931-6437-407d-A8EE-F0AAD7539E65}">
      <x14:conditionalFormattings>
        <x14:conditionalFormatting xmlns:xm="http://schemas.microsoft.com/office/excel/2006/main">
          <x14:cfRule type="expression" priority="1" id="{4ED16C19-95F5-4DF1-BAB7-E02B19430C59}">
            <xm:f>K$22=Sheet2!$H$43</xm:f>
            <x14:dxf>
              <fill>
                <patternFill>
                  <bgColor theme="4" tint="0.749961851863155"/>
                </patternFill>
              </fill>
              <border>
                <left style="thin">
                  <color theme="4" tint="0.499984740745262"/>
                </left>
                <right style="thin">
                  <color theme="4" tint="0.499984740745262"/>
                </right>
                <vertical/>
                <horizontal/>
              </border>
            </x14:dxf>
          </x14:cfRule>
          <xm:sqref>K24:O40</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EC286-5A0B-4971-97FF-2E2781733DE2}">
  <dimension ref="A3:S72"/>
  <sheetViews>
    <sheetView workbookViewId="0">
      <selection activeCell="D4" sqref="D4"/>
    </sheetView>
  </sheetViews>
  <sheetFormatPr defaultRowHeight="18" x14ac:dyDescent="0.5"/>
  <cols>
    <col min="1" max="1" width="14" bestFit="1" customWidth="1"/>
    <col min="2" max="2" width="11.33203125" bestFit="1" customWidth="1"/>
    <col min="3" max="3" width="12.44140625" bestFit="1" customWidth="1"/>
    <col min="4" max="4" width="15.6640625" bestFit="1" customWidth="1"/>
    <col min="5" max="5" width="7.6640625" bestFit="1" customWidth="1"/>
    <col min="6" max="6" width="6.5546875" bestFit="1" customWidth="1"/>
    <col min="7" max="8" width="14" bestFit="1" customWidth="1"/>
    <col min="9" max="9" width="5.5546875" customWidth="1"/>
    <col min="11" max="11" width="10.6640625" customWidth="1"/>
  </cols>
  <sheetData>
    <row r="3" spans="1:5" x14ac:dyDescent="0.5">
      <c r="A3" t="s">
        <v>1042</v>
      </c>
      <c r="B3" t="s">
        <v>1043</v>
      </c>
      <c r="C3" t="s">
        <v>1044</v>
      </c>
      <c r="D3" t="s">
        <v>1045</v>
      </c>
      <c r="E3" t="s">
        <v>1046</v>
      </c>
    </row>
    <row r="4" spans="1:5" x14ac:dyDescent="0.5">
      <c r="A4" s="21">
        <v>1000</v>
      </c>
      <c r="B4" s="22">
        <v>96623</v>
      </c>
      <c r="C4" s="21">
        <v>89850</v>
      </c>
      <c r="D4" s="23">
        <v>3.8854000000000033</v>
      </c>
      <c r="E4" s="21">
        <v>307</v>
      </c>
    </row>
    <row r="10" spans="1:5" x14ac:dyDescent="0.5">
      <c r="A10" t="s">
        <v>1042</v>
      </c>
      <c r="B10" t="s">
        <v>1043</v>
      </c>
      <c r="C10" t="s">
        <v>1044</v>
      </c>
      <c r="D10" t="s">
        <v>1045</v>
      </c>
      <c r="E10" t="s">
        <v>1046</v>
      </c>
    </row>
    <row r="11" spans="1:5" x14ac:dyDescent="0.5">
      <c r="A11" s="21">
        <v>207</v>
      </c>
      <c r="B11" s="22">
        <v>20872</v>
      </c>
      <c r="C11" s="21">
        <v>17700</v>
      </c>
      <c r="D11" s="23">
        <v>3.8589371980676304</v>
      </c>
      <c r="E11" s="21">
        <v>60</v>
      </c>
    </row>
    <row r="18" spans="1:19" x14ac:dyDescent="0.5">
      <c r="A18" s="24" t="s">
        <v>1066</v>
      </c>
      <c r="B18" t="s">
        <v>1042</v>
      </c>
      <c r="C18" t="s">
        <v>1068</v>
      </c>
      <c r="G18" s="24" t="s">
        <v>1066</v>
      </c>
      <c r="H18" t="s">
        <v>1042</v>
      </c>
    </row>
    <row r="19" spans="1:19" x14ac:dyDescent="0.5">
      <c r="A19" s="25" t="s">
        <v>1047</v>
      </c>
      <c r="B19" s="21">
        <v>13</v>
      </c>
      <c r="C19" s="21">
        <v>13</v>
      </c>
      <c r="G19" s="25" t="s">
        <v>1059</v>
      </c>
      <c r="H19" s="21">
        <v>30</v>
      </c>
    </row>
    <row r="20" spans="1:19" x14ac:dyDescent="0.5">
      <c r="A20" s="25" t="s">
        <v>1048</v>
      </c>
      <c r="B20" s="21">
        <v>13</v>
      </c>
      <c r="C20" s="21">
        <v>13</v>
      </c>
      <c r="G20" s="25" t="s">
        <v>1060</v>
      </c>
      <c r="H20" s="21">
        <v>34</v>
      </c>
    </row>
    <row r="21" spans="1:19" x14ac:dyDescent="0.5">
      <c r="A21" s="25" t="s">
        <v>1049</v>
      </c>
      <c r="B21" s="21">
        <v>28</v>
      </c>
      <c r="C21" s="21">
        <v>28</v>
      </c>
      <c r="G21" s="25" t="s">
        <v>1061</v>
      </c>
      <c r="H21" s="21">
        <v>26</v>
      </c>
    </row>
    <row r="22" spans="1:19" x14ac:dyDescent="0.5">
      <c r="A22" s="25" t="s">
        <v>1050</v>
      </c>
      <c r="B22" s="21">
        <v>24</v>
      </c>
      <c r="C22" s="21">
        <v>24</v>
      </c>
      <c r="G22" s="25" t="s">
        <v>1062</v>
      </c>
      <c r="H22" s="21">
        <v>38</v>
      </c>
    </row>
    <row r="23" spans="1:19" x14ac:dyDescent="0.5">
      <c r="A23" s="25" t="s">
        <v>1051</v>
      </c>
      <c r="B23" s="21">
        <v>23</v>
      </c>
      <c r="C23" s="21">
        <v>23</v>
      </c>
      <c r="G23" s="25" t="s">
        <v>1063</v>
      </c>
      <c r="H23" s="21">
        <v>27</v>
      </c>
    </row>
    <row r="24" spans="1:19" x14ac:dyDescent="0.5">
      <c r="A24" s="25" t="s">
        <v>1052</v>
      </c>
      <c r="B24" s="21">
        <v>17</v>
      </c>
      <c r="C24" s="21">
        <v>17</v>
      </c>
      <c r="G24" s="25" t="s">
        <v>1064</v>
      </c>
      <c r="H24" s="21">
        <v>27</v>
      </c>
    </row>
    <row r="25" spans="1:19" x14ac:dyDescent="0.5">
      <c r="A25" s="25" t="s">
        <v>1053</v>
      </c>
      <c r="B25" s="21">
        <v>11</v>
      </c>
      <c r="C25" s="21">
        <v>11</v>
      </c>
      <c r="G25" s="25" t="s">
        <v>1065</v>
      </c>
      <c r="H25" s="21">
        <v>25</v>
      </c>
    </row>
    <row r="26" spans="1:19" x14ac:dyDescent="0.5">
      <c r="A26" s="25" t="s">
        <v>1054</v>
      </c>
      <c r="B26" s="21">
        <v>11</v>
      </c>
      <c r="C26" s="21">
        <v>11</v>
      </c>
      <c r="G26" s="25" t="s">
        <v>1067</v>
      </c>
      <c r="H26" s="21">
        <v>207</v>
      </c>
    </row>
    <row r="27" spans="1:19" x14ac:dyDescent="0.5">
      <c r="A27" s="25" t="s">
        <v>1055</v>
      </c>
      <c r="B27" s="21">
        <v>14</v>
      </c>
      <c r="C27" s="21">
        <v>14</v>
      </c>
    </row>
    <row r="28" spans="1:19" x14ac:dyDescent="0.5">
      <c r="A28" s="25" t="s">
        <v>1056</v>
      </c>
      <c r="B28" s="21">
        <v>30</v>
      </c>
      <c r="C28" s="21">
        <v>30</v>
      </c>
      <c r="J28" s="14" t="s">
        <v>1069</v>
      </c>
      <c r="M28" t="s">
        <v>1075</v>
      </c>
      <c r="O28" t="str">
        <f>H43</f>
        <v>R03</v>
      </c>
    </row>
    <row r="29" spans="1:19" x14ac:dyDescent="0.5">
      <c r="A29" s="25" t="s">
        <v>1057</v>
      </c>
      <c r="B29" s="21">
        <v>14</v>
      </c>
      <c r="C29" s="21">
        <v>14</v>
      </c>
      <c r="J29" t="s">
        <v>1070</v>
      </c>
      <c r="K29" t="s">
        <v>1071</v>
      </c>
      <c r="L29" t="s">
        <v>1072</v>
      </c>
      <c r="M29" t="s">
        <v>1073</v>
      </c>
      <c r="N29" t="s">
        <v>1074</v>
      </c>
    </row>
    <row r="30" spans="1:19" x14ac:dyDescent="0.5">
      <c r="A30" s="25" t="s">
        <v>1058</v>
      </c>
      <c r="B30" s="21">
        <v>9</v>
      </c>
      <c r="C30" s="21">
        <v>9</v>
      </c>
      <c r="F30" s="24" t="s">
        <v>1066</v>
      </c>
      <c r="G30" t="s">
        <v>1042</v>
      </c>
      <c r="H30" t="s">
        <v>1043</v>
      </c>
      <c r="J30" t="str" cm="1">
        <f t="array" ref="J30:L34">F31:H35</f>
        <v>R01</v>
      </c>
      <c r="K30">
        <v>189</v>
      </c>
      <c r="L30" s="26">
        <v>18415</v>
      </c>
      <c r="M30" s="26" t="e" cm="1">
        <f t="array" ref="M30">IF(J30=$O$28,K30,na)</f>
        <v>#NAME?</v>
      </c>
      <c r="N30" s="26" t="e" cm="1">
        <f t="array" ref="N30">IF(J30=$O$28,L30,n/a)</f>
        <v>#NAME?</v>
      </c>
      <c r="O30" s="26"/>
      <c r="Q30" t="str" cm="1">
        <f t="array" ref="Q30:S34">_xlfn.ANCHORARRAY(J30)</f>
        <v>R01</v>
      </c>
      <c r="R30">
        <v>189</v>
      </c>
      <c r="S30">
        <v>18415</v>
      </c>
    </row>
    <row r="31" spans="1:19" x14ac:dyDescent="0.5">
      <c r="A31" s="25" t="s">
        <v>1067</v>
      </c>
      <c r="B31" s="21">
        <v>207</v>
      </c>
      <c r="C31" s="21">
        <v>207</v>
      </c>
      <c r="F31" s="25" t="s">
        <v>11</v>
      </c>
      <c r="G31" s="21">
        <v>189</v>
      </c>
      <c r="H31" s="22">
        <v>18415</v>
      </c>
      <c r="J31" t="str">
        <v>R02</v>
      </c>
      <c r="K31">
        <v>218</v>
      </c>
      <c r="L31" s="26">
        <v>20581</v>
      </c>
      <c r="M31" s="28" t="e" cm="1">
        <f t="array" ref="M31">IF(J31=$O$28,K31,na)</f>
        <v>#NAME?</v>
      </c>
      <c r="N31" s="26" t="e" cm="1">
        <f t="array" ref="N31">IF(J31=$O$28,L31,n/a)</f>
        <v>#NAME?</v>
      </c>
      <c r="O31" s="26"/>
      <c r="Q31" t="str">
        <v>R02</v>
      </c>
      <c r="R31">
        <v>218</v>
      </c>
      <c r="S31">
        <v>20581</v>
      </c>
    </row>
    <row r="32" spans="1:19" x14ac:dyDescent="0.5">
      <c r="F32" s="25" t="s">
        <v>9</v>
      </c>
      <c r="G32" s="21">
        <v>218</v>
      </c>
      <c r="H32" s="22">
        <v>20581</v>
      </c>
      <c r="J32" t="str">
        <v>R03</v>
      </c>
      <c r="K32">
        <v>207</v>
      </c>
      <c r="L32" s="26">
        <v>20872</v>
      </c>
      <c r="M32" s="26" cm="1">
        <f t="array" ref="M32">IF(J32=$O$28,K32,na)</f>
        <v>207</v>
      </c>
      <c r="N32" s="26" cm="1">
        <f t="array" ref="N32">IF(J32=$O$28,L32,n/a)</f>
        <v>20872</v>
      </c>
      <c r="O32" s="26"/>
      <c r="Q32" t="str">
        <v>R03</v>
      </c>
      <c r="R32">
        <v>207</v>
      </c>
      <c r="S32">
        <v>20872</v>
      </c>
    </row>
    <row r="33" spans="1:19" x14ac:dyDescent="0.5">
      <c r="F33" s="25" t="s">
        <v>6</v>
      </c>
      <c r="G33" s="21">
        <v>207</v>
      </c>
      <c r="H33" s="22">
        <v>20872</v>
      </c>
      <c r="J33" t="str">
        <v>R04</v>
      </c>
      <c r="K33">
        <v>186</v>
      </c>
      <c r="L33" s="26">
        <v>16651</v>
      </c>
      <c r="M33" s="26" t="e" cm="1">
        <f t="array" ref="M33">IF(J33=$O$28,K33,na)</f>
        <v>#NAME?</v>
      </c>
      <c r="N33" s="26" t="e" cm="1">
        <f t="array" ref="N33">IF(J33=$O$28,L33,n/a)</f>
        <v>#NAME?</v>
      </c>
      <c r="O33" s="26"/>
      <c r="Q33" t="str">
        <v>R04</v>
      </c>
      <c r="R33">
        <v>186</v>
      </c>
      <c r="S33">
        <v>16651</v>
      </c>
    </row>
    <row r="34" spans="1:19" x14ac:dyDescent="0.5">
      <c r="F34" s="25" t="s">
        <v>13</v>
      </c>
      <c r="G34" s="21">
        <v>186</v>
      </c>
      <c r="H34" s="22">
        <v>16651</v>
      </c>
      <c r="J34" t="str">
        <v>R05</v>
      </c>
      <c r="K34">
        <v>200</v>
      </c>
      <c r="L34" s="26">
        <v>20104</v>
      </c>
      <c r="M34" s="26" t="e" cm="1">
        <f t="array" ref="M34">IF(J34=$O$28,K34,na)</f>
        <v>#NAME?</v>
      </c>
      <c r="N34" s="26" t="e" cm="1">
        <f t="array" ref="N34">IF(J34=$O$28,L34,n/a)</f>
        <v>#NAME?</v>
      </c>
      <c r="O34" s="26"/>
      <c r="Q34" t="str">
        <v>R05</v>
      </c>
      <c r="R34">
        <v>200</v>
      </c>
      <c r="S34">
        <v>20104</v>
      </c>
    </row>
    <row r="35" spans="1:19" x14ac:dyDescent="0.5">
      <c r="A35" s="24" t="s">
        <v>1042</v>
      </c>
      <c r="B35" s="24" t="s">
        <v>1076</v>
      </c>
      <c r="F35" s="25" t="s">
        <v>10</v>
      </c>
      <c r="G35" s="21">
        <v>200</v>
      </c>
      <c r="H35" s="22">
        <v>20104</v>
      </c>
    </row>
    <row r="36" spans="1:19" x14ac:dyDescent="0.5">
      <c r="A36" s="24" t="s">
        <v>1066</v>
      </c>
      <c r="B36" t="s">
        <v>999</v>
      </c>
      <c r="C36" t="s">
        <v>998</v>
      </c>
      <c r="D36" t="s">
        <v>1067</v>
      </c>
      <c r="F36" s="25" t="s">
        <v>1067</v>
      </c>
      <c r="G36" s="21">
        <v>1000</v>
      </c>
      <c r="H36" s="22">
        <v>96623</v>
      </c>
    </row>
    <row r="37" spans="1:19" x14ac:dyDescent="0.5">
      <c r="A37" s="25" t="s">
        <v>1002</v>
      </c>
      <c r="B37" s="21">
        <v>144</v>
      </c>
      <c r="C37" s="21">
        <v>132</v>
      </c>
      <c r="D37" s="21">
        <v>276</v>
      </c>
    </row>
    <row r="38" spans="1:19" x14ac:dyDescent="0.5">
      <c r="A38" s="25" t="s">
        <v>1001</v>
      </c>
      <c r="B38" s="21">
        <v>326</v>
      </c>
      <c r="C38" s="21">
        <v>63</v>
      </c>
      <c r="D38" s="21">
        <v>389</v>
      </c>
      <c r="K38" s="14" t="s">
        <v>1077</v>
      </c>
    </row>
    <row r="39" spans="1:19" x14ac:dyDescent="0.5">
      <c r="A39" s="25" t="s">
        <v>1000</v>
      </c>
      <c r="B39" s="21">
        <v>129</v>
      </c>
      <c r="C39" s="21">
        <v>206</v>
      </c>
      <c r="D39" s="21">
        <v>335</v>
      </c>
      <c r="K39" t="s">
        <v>1078</v>
      </c>
      <c r="L39" s="41">
        <f>A11/A4</f>
        <v>0.20699999999999999</v>
      </c>
    </row>
    <row r="40" spans="1:19" x14ac:dyDescent="0.5">
      <c r="A40" s="25" t="s">
        <v>1067</v>
      </c>
      <c r="B40" s="21">
        <v>599</v>
      </c>
      <c r="C40" s="21">
        <v>401</v>
      </c>
      <c r="D40" s="21">
        <v>1000</v>
      </c>
      <c r="K40" t="s">
        <v>1081</v>
      </c>
      <c r="L40">
        <f>_xlfn.XLOOKUP(H43,F31:F35,G31:G35)</f>
        <v>207</v>
      </c>
    </row>
    <row r="41" spans="1:19" x14ac:dyDescent="0.5">
      <c r="K41" t="s">
        <v>1082</v>
      </c>
      <c r="L41">
        <f>_xlfn.XLOOKUP(H43,F31:F35,H31:H35)</f>
        <v>20872</v>
      </c>
    </row>
    <row r="42" spans="1:19" x14ac:dyDescent="0.5">
      <c r="H42" s="24" t="s">
        <v>1066</v>
      </c>
      <c r="K42" t="s">
        <v>1079</v>
      </c>
      <c r="L42">
        <f>_xlfn.RANK.AVG(L40,G31:G35)</f>
        <v>2</v>
      </c>
    </row>
    <row r="43" spans="1:19" x14ac:dyDescent="0.5">
      <c r="A43" s="24" t="s">
        <v>1066</v>
      </c>
      <c r="B43" t="s">
        <v>1042</v>
      </c>
      <c r="H43" s="27" t="s">
        <v>6</v>
      </c>
      <c r="K43" t="s">
        <v>1080</v>
      </c>
      <c r="L43">
        <f>_xlfn.RANK.AVG(L41,H31:H35)</f>
        <v>1</v>
      </c>
    </row>
    <row r="44" spans="1:19" x14ac:dyDescent="0.5">
      <c r="A44" s="25">
        <v>0</v>
      </c>
      <c r="B44" s="21">
        <v>1</v>
      </c>
    </row>
    <row r="45" spans="1:19" x14ac:dyDescent="0.5">
      <c r="A45" s="25">
        <v>1</v>
      </c>
      <c r="B45" s="21">
        <v>1</v>
      </c>
      <c r="K45" t="s">
        <v>1083</v>
      </c>
    </row>
    <row r="46" spans="1:19" x14ac:dyDescent="0.5">
      <c r="A46" s="25">
        <v>2</v>
      </c>
      <c r="B46" s="21">
        <v>11</v>
      </c>
      <c r="H46" s="27"/>
      <c r="L46" t="str">
        <f>"% of calls:"&amp; TEXT(L39,"0%")</f>
        <v>% of calls:21%</v>
      </c>
    </row>
    <row r="47" spans="1:19" x14ac:dyDescent="0.5">
      <c r="A47" s="25">
        <v>3</v>
      </c>
      <c r="B47" s="21">
        <v>46</v>
      </c>
      <c r="H47" s="27"/>
      <c r="L47" t="str">
        <f>IF(COUNTA(H43:H47)&gt;1,"","call rank:"&amp;L42)</f>
        <v>call rank:2</v>
      </c>
    </row>
    <row r="48" spans="1:19" x14ac:dyDescent="0.5">
      <c r="A48" s="25">
        <v>4</v>
      </c>
      <c r="B48" s="21">
        <v>88</v>
      </c>
      <c r="L48" t="str">
        <f>IF(COUNTA(H43:H47)&gt;1,"","amount rank:"&amp;L43)</f>
        <v>amount rank:1</v>
      </c>
    </row>
    <row r="49" spans="1:12" x14ac:dyDescent="0.5">
      <c r="A49" s="25">
        <v>5</v>
      </c>
      <c r="B49" s="21">
        <v>60</v>
      </c>
      <c r="K49" t="s">
        <v>1084</v>
      </c>
      <c r="L49" t="e" vm="6">
        <f>IF(COUNTA(H43:H47)&gt;1,"",_xlfn.XLOOKUP(H43,Assets!E3:E7,Assets!F3:F7))</f>
        <v>#VALUE!</v>
      </c>
    </row>
    <row r="50" spans="1:12" x14ac:dyDescent="0.5">
      <c r="A50" s="25" t="s">
        <v>1067</v>
      </c>
      <c r="B50" s="21">
        <v>207</v>
      </c>
    </row>
    <row r="53" spans="1:12" x14ac:dyDescent="0.5">
      <c r="A53" s="24" t="s">
        <v>1043</v>
      </c>
      <c r="B53" s="24" t="s">
        <v>1076</v>
      </c>
    </row>
    <row r="54" spans="1:12" x14ac:dyDescent="0.5">
      <c r="A54" s="24" t="s">
        <v>1066</v>
      </c>
      <c r="B54" t="s">
        <v>11</v>
      </c>
      <c r="C54" t="s">
        <v>9</v>
      </c>
      <c r="D54" t="s">
        <v>6</v>
      </c>
      <c r="E54" t="s">
        <v>13</v>
      </c>
      <c r="F54" t="s">
        <v>10</v>
      </c>
      <c r="G54" t="s">
        <v>1067</v>
      </c>
    </row>
    <row r="55" spans="1:12" x14ac:dyDescent="0.5">
      <c r="A55" s="25" t="s">
        <v>1002</v>
      </c>
      <c r="B55" s="30"/>
      <c r="C55" s="30"/>
      <c r="D55" s="30"/>
      <c r="E55" s="30"/>
      <c r="F55" s="30"/>
      <c r="G55" s="30"/>
    </row>
    <row r="56" spans="1:12" x14ac:dyDescent="0.5">
      <c r="A56" s="29" t="s">
        <v>20</v>
      </c>
      <c r="B56" s="22">
        <v>891</v>
      </c>
      <c r="C56" s="22">
        <v>1332</v>
      </c>
      <c r="D56" s="22">
        <v>1282</v>
      </c>
      <c r="E56" s="22">
        <v>739</v>
      </c>
      <c r="F56" s="22">
        <v>560</v>
      </c>
      <c r="G56" s="22">
        <v>4804</v>
      </c>
    </row>
    <row r="57" spans="1:12" x14ac:dyDescent="0.5">
      <c r="A57" s="29" t="s">
        <v>12</v>
      </c>
      <c r="B57" s="22">
        <v>1991</v>
      </c>
      <c r="C57" s="22">
        <v>1886</v>
      </c>
      <c r="D57" s="22">
        <v>1206</v>
      </c>
      <c r="E57" s="22">
        <v>884</v>
      </c>
      <c r="F57" s="22">
        <v>1722</v>
      </c>
      <c r="G57" s="22">
        <v>7689</v>
      </c>
    </row>
    <row r="58" spans="1:12" x14ac:dyDescent="0.5">
      <c r="A58" s="29" t="s">
        <v>8</v>
      </c>
      <c r="B58" s="22">
        <v>1163</v>
      </c>
      <c r="C58" s="22">
        <v>1180</v>
      </c>
      <c r="D58" s="22">
        <v>1616</v>
      </c>
      <c r="E58" s="22">
        <v>1043</v>
      </c>
      <c r="F58" s="22">
        <v>1747</v>
      </c>
      <c r="G58" s="22">
        <v>6749</v>
      </c>
    </row>
    <row r="59" spans="1:12" x14ac:dyDescent="0.5">
      <c r="A59" s="29" t="s">
        <v>16</v>
      </c>
      <c r="B59" s="22">
        <v>1438</v>
      </c>
      <c r="C59" s="22">
        <v>1616</v>
      </c>
      <c r="D59" s="22">
        <v>866</v>
      </c>
      <c r="E59" s="22">
        <v>829</v>
      </c>
      <c r="F59" s="22">
        <v>2070</v>
      </c>
      <c r="G59" s="22">
        <v>6819</v>
      </c>
    </row>
    <row r="60" spans="1:12" x14ac:dyDescent="0.5">
      <c r="A60" s="25" t="s">
        <v>1001</v>
      </c>
      <c r="B60" s="30"/>
      <c r="C60" s="30"/>
      <c r="D60" s="30"/>
      <c r="E60" s="30"/>
      <c r="F60" s="30"/>
      <c r="G60" s="30"/>
    </row>
    <row r="61" spans="1:12" x14ac:dyDescent="0.5">
      <c r="A61" s="29" t="s">
        <v>24</v>
      </c>
      <c r="B61" s="22">
        <v>1233</v>
      </c>
      <c r="C61" s="22">
        <v>223</v>
      </c>
      <c r="D61" s="22">
        <v>1680</v>
      </c>
      <c r="E61" s="22">
        <v>990</v>
      </c>
      <c r="F61" s="22">
        <v>1508</v>
      </c>
      <c r="G61" s="22">
        <v>5634</v>
      </c>
    </row>
    <row r="62" spans="1:12" x14ac:dyDescent="0.5">
      <c r="A62" s="29" t="s">
        <v>15</v>
      </c>
      <c r="B62" s="22">
        <v>1598</v>
      </c>
      <c r="C62" s="22">
        <v>1907</v>
      </c>
      <c r="D62" s="22">
        <v>869</v>
      </c>
      <c r="E62" s="22">
        <v>1426</v>
      </c>
      <c r="F62" s="22">
        <v>1416</v>
      </c>
      <c r="G62" s="22">
        <v>7216</v>
      </c>
    </row>
    <row r="63" spans="1:12" x14ac:dyDescent="0.5">
      <c r="A63" s="29" t="s">
        <v>5</v>
      </c>
      <c r="B63" s="22">
        <v>900</v>
      </c>
      <c r="C63" s="22">
        <v>1016</v>
      </c>
      <c r="D63" s="22">
        <v>960</v>
      </c>
      <c r="E63" s="22">
        <v>940</v>
      </c>
      <c r="F63" s="22">
        <v>1193</v>
      </c>
      <c r="G63" s="22">
        <v>5009</v>
      </c>
    </row>
    <row r="64" spans="1:12" x14ac:dyDescent="0.5">
      <c r="A64" s="29" t="s">
        <v>18</v>
      </c>
      <c r="B64" s="22">
        <v>900</v>
      </c>
      <c r="C64" s="22">
        <v>1470</v>
      </c>
      <c r="D64" s="22">
        <v>1617</v>
      </c>
      <c r="E64" s="22">
        <v>1314</v>
      </c>
      <c r="F64" s="22">
        <v>941</v>
      </c>
      <c r="G64" s="22">
        <v>6242</v>
      </c>
    </row>
    <row r="65" spans="1:7" x14ac:dyDescent="0.5">
      <c r="A65" s="29" t="s">
        <v>14</v>
      </c>
      <c r="B65" s="22">
        <v>1255</v>
      </c>
      <c r="C65" s="22">
        <v>516</v>
      </c>
      <c r="D65" s="22">
        <v>1874</v>
      </c>
      <c r="E65" s="22">
        <v>1863</v>
      </c>
      <c r="F65" s="22">
        <v>1722</v>
      </c>
      <c r="G65" s="22">
        <v>7230</v>
      </c>
    </row>
    <row r="66" spans="1:7" x14ac:dyDescent="0.5">
      <c r="A66" s="29" t="s">
        <v>19</v>
      </c>
      <c r="B66" s="22">
        <v>1138</v>
      </c>
      <c r="C66" s="22">
        <v>1898</v>
      </c>
      <c r="D66" s="22">
        <v>1482</v>
      </c>
      <c r="E66" s="22">
        <v>846</v>
      </c>
      <c r="F66" s="22">
        <v>1154</v>
      </c>
      <c r="G66" s="22">
        <v>6518</v>
      </c>
    </row>
    <row r="67" spans="1:7" x14ac:dyDescent="0.5">
      <c r="A67" s="25" t="s">
        <v>1000</v>
      </c>
      <c r="B67" s="30"/>
      <c r="C67" s="30"/>
      <c r="D67" s="30"/>
      <c r="E67" s="30"/>
      <c r="F67" s="30"/>
      <c r="G67" s="30"/>
    </row>
    <row r="68" spans="1:7" x14ac:dyDescent="0.5">
      <c r="A68" s="29" t="s">
        <v>17</v>
      </c>
      <c r="B68" s="22">
        <v>1655</v>
      </c>
      <c r="C68" s="22">
        <v>805</v>
      </c>
      <c r="D68" s="22">
        <v>2263</v>
      </c>
      <c r="E68" s="22">
        <v>987</v>
      </c>
      <c r="F68" s="22">
        <v>1075</v>
      </c>
      <c r="G68" s="22">
        <v>6785</v>
      </c>
    </row>
    <row r="69" spans="1:7" x14ac:dyDescent="0.5">
      <c r="A69" s="29" t="s">
        <v>23</v>
      </c>
      <c r="B69" s="22">
        <v>1104</v>
      </c>
      <c r="C69" s="22">
        <v>2280</v>
      </c>
      <c r="D69" s="22">
        <v>1445</v>
      </c>
      <c r="E69" s="22">
        <v>1722</v>
      </c>
      <c r="F69" s="22">
        <v>1196</v>
      </c>
      <c r="G69" s="22">
        <v>7747</v>
      </c>
    </row>
    <row r="70" spans="1:7" x14ac:dyDescent="0.5">
      <c r="A70" s="29" t="s">
        <v>7</v>
      </c>
      <c r="B70" s="22">
        <v>372</v>
      </c>
      <c r="C70" s="22">
        <v>1818</v>
      </c>
      <c r="D70" s="22">
        <v>1346</v>
      </c>
      <c r="E70" s="22">
        <v>1156</v>
      </c>
      <c r="F70" s="22">
        <v>1484</v>
      </c>
      <c r="G70" s="22">
        <v>6176</v>
      </c>
    </row>
    <row r="71" spans="1:7" x14ac:dyDescent="0.5">
      <c r="A71" s="29" t="s">
        <v>22</v>
      </c>
      <c r="B71" s="22">
        <v>1415</v>
      </c>
      <c r="C71" s="22">
        <v>1271</v>
      </c>
      <c r="D71" s="22">
        <v>1214</v>
      </c>
      <c r="E71" s="22">
        <v>1135</v>
      </c>
      <c r="F71" s="22">
        <v>1566</v>
      </c>
      <c r="G71" s="22">
        <v>6601</v>
      </c>
    </row>
    <row r="72" spans="1:7" x14ac:dyDescent="0.5">
      <c r="A72" s="29" t="s">
        <v>21</v>
      </c>
      <c r="B72" s="22">
        <v>1362</v>
      </c>
      <c r="C72" s="22">
        <v>1363</v>
      </c>
      <c r="D72" s="22">
        <v>1152</v>
      </c>
      <c r="E72" s="22">
        <v>777</v>
      </c>
      <c r="F72" s="22">
        <v>750</v>
      </c>
      <c r="G72" s="22">
        <v>5404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Assets</vt:lpstr>
      <vt:lpstr>Data</vt:lpstr>
      <vt:lpstr>Cutomer Support Report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kapco.ho@gmail.com</cp:lastModifiedBy>
  <dcterms:created xsi:type="dcterms:W3CDTF">2021-03-14T20:21:32Z</dcterms:created>
  <dcterms:modified xsi:type="dcterms:W3CDTF">2026-08-29T16:40:06Z</dcterms:modified>
</cp:coreProperties>
</file>